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504DA4C1-DBCF-4770-ADAF-189D9B06DCCF}" xr6:coauthVersionLast="47" xr6:coauthVersionMax="47" xr10:uidLastSave="{00000000-0000-0000-0000-000000000000}"/>
  <bookViews>
    <workbookView xWindow="-108" yWindow="-108" windowWidth="23256" windowHeight="12456" activeTab="3" xr2:uid="{C36DC468-DC83-440E-AC15-9EBC7500904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 a="1"/>
  <c r="F2" i="2" s="1"/>
  <c r="H12" i="1"/>
  <c r="J9" i="1"/>
  <c r="H8" i="1"/>
  <c r="H10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E2" i="3"/>
  <c r="G2" i="3" s="1"/>
  <c r="G6" i="3"/>
  <c r="J10" i="3"/>
  <c r="J8" i="3"/>
  <c r="E6" i="3"/>
  <c r="D6" i="3"/>
  <c r="C6" i="3"/>
  <c r="D2" i="3"/>
  <c r="C2" i="3"/>
  <c r="C10" i="2" a="1"/>
  <c r="C10" i="2" s="1"/>
  <c r="A10" i="1" a="1"/>
  <c r="A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<sst xmlns="http://schemas.openxmlformats.org/spreadsheetml/2006/main" count="232" uniqueCount="46">
  <si>
    <t>No.</t>
  </si>
  <si>
    <t>Name</t>
  </si>
  <si>
    <t>Maths</t>
  </si>
  <si>
    <t>English</t>
  </si>
  <si>
    <t>Science</t>
  </si>
  <si>
    <t>Meet</t>
  </si>
  <si>
    <t>Amit</t>
  </si>
  <si>
    <t>Sumit</t>
  </si>
  <si>
    <t>Rahul</t>
  </si>
  <si>
    <t>Vivek</t>
  </si>
  <si>
    <t>Product</t>
  </si>
  <si>
    <t>Region</t>
  </si>
  <si>
    <t>Sales</t>
  </si>
  <si>
    <t>Laptop</t>
  </si>
  <si>
    <t>Tv</t>
  </si>
  <si>
    <t>Mobile</t>
  </si>
  <si>
    <t>Ac</t>
  </si>
  <si>
    <t>Tablet</t>
  </si>
  <si>
    <t>AirBuds</t>
  </si>
  <si>
    <t>East</t>
  </si>
  <si>
    <t>North</t>
  </si>
  <si>
    <t>South</t>
  </si>
  <si>
    <t>West</t>
  </si>
  <si>
    <t>Date</t>
  </si>
  <si>
    <t>Time</t>
  </si>
  <si>
    <t>Timestamp</t>
  </si>
  <si>
    <t>Day</t>
  </si>
  <si>
    <t>Month</t>
  </si>
  <si>
    <t>Year</t>
  </si>
  <si>
    <t>Hours</t>
  </si>
  <si>
    <t>Minutes</t>
  </si>
  <si>
    <t>Seconds</t>
  </si>
  <si>
    <t>Total</t>
  </si>
  <si>
    <t>Average</t>
  </si>
  <si>
    <t>Min</t>
  </si>
  <si>
    <t>Max</t>
  </si>
  <si>
    <t>Amount</t>
  </si>
  <si>
    <t>Quantity</t>
  </si>
  <si>
    <t>Category</t>
  </si>
  <si>
    <t>Status</t>
  </si>
  <si>
    <t>Food</t>
  </si>
  <si>
    <t>Paid</t>
  </si>
  <si>
    <t>Electronics</t>
  </si>
  <si>
    <t>Pending</t>
  </si>
  <si>
    <t>Clothes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</si>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</sst>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0" fontId="1" fillId="3" borderId="1" xfId="2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9" fontId="0" fillId="0" borderId="1" xfId="0" applyNumberFormat="1" applyBorder="1" applyAlignment="1">
      <alignment horizontal="center"/>
    </xf>
    <xf numFmtId="14" fontId="0" fillId="2" borderId="1" xfId="1" applyNumberFormat="1" applyFont="1" applyBorder="1" applyAlignment="1">
      <alignment horizontal="center"/>
    </xf>
    <xf numFmtId="14" fontId="0" fillId="0" borderId="0" xfId="0" applyNumberFormat="1"/>
    <xf numFmtId="18" fontId="0" fillId="0" borderId="0" xfId="0" applyNumberFormat="1"/>
    <xf numFmtId="0" fontId="1" fillId="2" borderId="2" xfId="1" applyBorder="1" applyAlignment="1">
      <alignment horizontal="center"/>
    </xf>
    <xf numFmtId="2" fontId="0" fillId="0" borderId="0" xfId="0" applyNumberFormat="1"/>
  </cellXfs>
  <cellStyles count="3">
    <cellStyle name="20% - Accent1" xfId="1" builtinId="30"/>
    <cellStyle name="20% - Accent3" xfId="2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989C-CBF2-43E7-937B-719D2787D2ED}">
  <dimension ref="A1:J12"/>
  <sheetViews>
    <sheetView topLeftCell="B1" zoomScale="220" zoomScaleNormal="220" workbookViewId="0">
      <selection activeCell="G8" sqref="G8"/>
    </sheetView>
  </sheetViews>
  <sheetFormatPr defaultRowHeight="14.4" x14ac:dyDescent="0.3"/>
  <sheetData>
    <row r="1" spans="1:10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4" t="s">
        <v>32</v>
      </c>
      <c r="H1" s="14" t="s">
        <v>33</v>
      </c>
      <c r="I1" s="14" t="s">
        <v>34</v>
      </c>
      <c r="J1" s="14" t="s">
        <v>35</v>
      </c>
    </row>
    <row r="2" spans="1:10" x14ac:dyDescent="0.3">
      <c r="B2" s="4">
        <v>1</v>
      </c>
      <c r="C2" s="4" t="s">
        <v>5</v>
      </c>
      <c r="D2" s="4">
        <v>87</v>
      </c>
      <c r="E2" s="4">
        <v>56</v>
      </c>
      <c r="F2" s="4">
        <v>87</v>
      </c>
      <c r="G2">
        <f>SUM(D2:F2)</f>
        <v>230</v>
      </c>
      <c r="H2" s="15">
        <f>AVERAGE(D2:F2)</f>
        <v>76.666666666666671</v>
      </c>
      <c r="I2">
        <f>MIN(D2:F2)</f>
        <v>56</v>
      </c>
      <c r="J2">
        <f>MAX(D2:F2)</f>
        <v>87</v>
      </c>
    </row>
    <row r="3" spans="1:10" x14ac:dyDescent="0.3">
      <c r="B3" s="4">
        <v>2</v>
      </c>
      <c r="C3" s="4" t="s">
        <v>6</v>
      </c>
      <c r="D3" s="4">
        <v>56</v>
      </c>
      <c r="E3" s="4">
        <v>76</v>
      </c>
      <c r="F3" s="4">
        <v>76</v>
      </c>
      <c r="G3">
        <f t="shared" ref="G3:G6" si="0">SUM(D3:F3)</f>
        <v>208</v>
      </c>
      <c r="H3" s="15">
        <f t="shared" ref="H3:H6" si="1">AVERAGE(D3:F3)</f>
        <v>69.333333333333329</v>
      </c>
      <c r="I3">
        <f t="shared" ref="I3:I6" si="2">MIN(D3:F3)</f>
        <v>56</v>
      </c>
      <c r="J3">
        <f t="shared" ref="J3:J6" si="3">MAX(D3:F3)</f>
        <v>76</v>
      </c>
    </row>
    <row r="4" spans="1:10" x14ac:dyDescent="0.3">
      <c r="B4" s="4">
        <v>3</v>
      </c>
      <c r="C4" s="4" t="s">
        <v>7</v>
      </c>
      <c r="D4" s="4">
        <v>76</v>
      </c>
      <c r="E4" s="4">
        <v>87</v>
      </c>
      <c r="F4" s="4">
        <v>43</v>
      </c>
      <c r="G4">
        <f t="shared" si="0"/>
        <v>206</v>
      </c>
      <c r="H4" s="15">
        <f t="shared" si="1"/>
        <v>68.666666666666671</v>
      </c>
      <c r="I4">
        <f t="shared" si="2"/>
        <v>43</v>
      </c>
      <c r="J4">
        <f t="shared" si="3"/>
        <v>87</v>
      </c>
    </row>
    <row r="5" spans="1:10" x14ac:dyDescent="0.3">
      <c r="B5" s="4">
        <v>4</v>
      </c>
      <c r="C5" s="4" t="s">
        <v>8</v>
      </c>
      <c r="D5" s="4">
        <v>67</v>
      </c>
      <c r="E5" s="4">
        <v>98</v>
      </c>
      <c r="F5" s="4">
        <v>56</v>
      </c>
      <c r="G5">
        <f t="shared" si="0"/>
        <v>221</v>
      </c>
      <c r="H5" s="15">
        <f t="shared" si="1"/>
        <v>73.666666666666671</v>
      </c>
      <c r="I5">
        <f t="shared" si="2"/>
        <v>56</v>
      </c>
      <c r="J5">
        <f t="shared" si="3"/>
        <v>98</v>
      </c>
    </row>
    <row r="6" spans="1:10" x14ac:dyDescent="0.3">
      <c r="B6" s="4">
        <v>5</v>
      </c>
      <c r="C6" s="4" t="s">
        <v>9</v>
      </c>
      <c r="D6" s="4">
        <v>98</v>
      </c>
      <c r="E6" s="4">
        <v>56</v>
      </c>
      <c r="F6" s="4">
        <v>34</v>
      </c>
      <c r="G6">
        <f t="shared" si="0"/>
        <v>188</v>
      </c>
      <c r="H6" s="15">
        <f t="shared" si="1"/>
        <v>62.666666666666664</v>
      </c>
      <c r="I6">
        <f t="shared" si="2"/>
        <v>34</v>
      </c>
      <c r="J6">
        <f t="shared" si="3"/>
        <v>98</v>
      </c>
    </row>
    <row r="8" spans="1:10" x14ac:dyDescent="0.3">
      <c r="H8" s="15">
        <f>COUNT(E2:E6)</f>
        <v>5</v>
      </c>
    </row>
    <row r="9" spans="1:10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J9">
        <f>PRODUCT(H8,H10)</f>
        <v>25</v>
      </c>
    </row>
    <row r="10" spans="1:10" x14ac:dyDescent="0.3">
      <c r="A10" cm="1">
        <f t="array" ref="A10:E12">_xlfn._xlws.FILTER(B2:F6,E2:E6&gt;60)</f>
        <v>2</v>
      </c>
      <c r="B10" t="str">
        <v>Amit</v>
      </c>
      <c r="C10">
        <v>56</v>
      </c>
      <c r="D10">
        <v>76</v>
      </c>
      <c r="E10">
        <v>76</v>
      </c>
      <c r="H10">
        <f>COUNTA(C2:C6)</f>
        <v>5</v>
      </c>
    </row>
    <row r="11" spans="1:10" x14ac:dyDescent="0.3">
      <c r="A11">
        <v>3</v>
      </c>
      <c r="B11" t="str">
        <v>Sumit</v>
      </c>
      <c r="C11">
        <v>76</v>
      </c>
      <c r="D11">
        <v>87</v>
      </c>
      <c r="E11">
        <v>43</v>
      </c>
    </row>
    <row r="12" spans="1:10" x14ac:dyDescent="0.3">
      <c r="A12">
        <v>4</v>
      </c>
      <c r="B12" t="str">
        <v>Rahul</v>
      </c>
      <c r="C12">
        <v>67</v>
      </c>
      <c r="D12">
        <v>98</v>
      </c>
      <c r="E12">
        <v>56</v>
      </c>
      <c r="H12">
        <f>SUBTOTAL(5,E10:E12)</f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976C-F5C8-4852-A918-B842036137DF}">
  <dimension ref="A1:I10"/>
  <sheetViews>
    <sheetView zoomScale="235" zoomScaleNormal="235" workbookViewId="0">
      <selection activeCell="F3" sqref="F3"/>
    </sheetView>
  </sheetViews>
  <sheetFormatPr defaultRowHeight="14.4" x14ac:dyDescent="0.3"/>
  <cols>
    <col min="4" max="4" width="13.21875" bestFit="1" customWidth="1"/>
  </cols>
  <sheetData>
    <row r="1" spans="1:9" x14ac:dyDescent="0.3">
      <c r="A1" s="5" t="s">
        <v>0</v>
      </c>
      <c r="B1" s="5" t="s">
        <v>10</v>
      </c>
      <c r="C1" s="5" t="s">
        <v>11</v>
      </c>
      <c r="D1" s="5" t="s">
        <v>12</v>
      </c>
    </row>
    <row r="2" spans="1:9" x14ac:dyDescent="0.3">
      <c r="A2" s="1">
        <v>1</v>
      </c>
      <c r="B2" s="1" t="s">
        <v>13</v>
      </c>
      <c r="C2" s="1" t="s">
        <v>19</v>
      </c>
      <c r="D2" s="6">
        <v>1500000</v>
      </c>
      <c r="F2" cm="1">
        <f t="array" ref="F2:I6">_xlfn._xlws.FILTER(A2:D7,(C2:C7="NORTH")+(D2:D7&gt;1000000),"-")</f>
        <v>1</v>
      </c>
      <c r="G2" t="str">
        <v>Laptop</v>
      </c>
      <c r="H2" t="str">
        <v>East</v>
      </c>
      <c r="I2">
        <v>1500000</v>
      </c>
    </row>
    <row r="3" spans="1:9" x14ac:dyDescent="0.3">
      <c r="A3" s="1">
        <v>2</v>
      </c>
      <c r="B3" s="1" t="s">
        <v>14</v>
      </c>
      <c r="C3" s="1" t="s">
        <v>20</v>
      </c>
      <c r="D3" s="6">
        <v>800000</v>
      </c>
      <c r="F3">
        <v>2</v>
      </c>
      <c r="G3" t="str">
        <v>Tv</v>
      </c>
      <c r="H3" t="str">
        <v>North</v>
      </c>
      <c r="I3">
        <v>800000</v>
      </c>
    </row>
    <row r="4" spans="1:9" x14ac:dyDescent="0.3">
      <c r="A4" s="1">
        <v>3</v>
      </c>
      <c r="B4" s="1" t="s">
        <v>15</v>
      </c>
      <c r="C4" s="1" t="s">
        <v>20</v>
      </c>
      <c r="D4" s="6">
        <v>400000</v>
      </c>
      <c r="F4">
        <v>3</v>
      </c>
      <c r="G4" t="str">
        <v>Mobile</v>
      </c>
      <c r="H4" t="str">
        <v>North</v>
      </c>
      <c r="I4">
        <v>400000</v>
      </c>
    </row>
    <row r="5" spans="1:9" x14ac:dyDescent="0.3">
      <c r="A5" s="1">
        <v>4</v>
      </c>
      <c r="B5" s="1" t="s">
        <v>16</v>
      </c>
      <c r="C5" s="1" t="s">
        <v>19</v>
      </c>
      <c r="D5" s="6">
        <v>560000</v>
      </c>
      <c r="F5">
        <v>5</v>
      </c>
      <c r="G5" t="str">
        <v>Tablet</v>
      </c>
      <c r="H5" t="str">
        <v>South</v>
      </c>
      <c r="I5">
        <v>1800000</v>
      </c>
    </row>
    <row r="6" spans="1:9" x14ac:dyDescent="0.3">
      <c r="A6" s="1">
        <v>5</v>
      </c>
      <c r="B6" s="1" t="s">
        <v>17</v>
      </c>
      <c r="C6" s="1" t="s">
        <v>21</v>
      </c>
      <c r="D6" s="6">
        <v>1800000</v>
      </c>
      <c r="F6">
        <v>6</v>
      </c>
      <c r="G6" t="str">
        <v>AirBuds</v>
      </c>
      <c r="H6" t="str">
        <v>South</v>
      </c>
      <c r="I6">
        <v>1200000</v>
      </c>
    </row>
    <row r="7" spans="1:9" x14ac:dyDescent="0.3">
      <c r="A7" s="1">
        <v>6</v>
      </c>
      <c r="B7" s="1" t="s">
        <v>18</v>
      </c>
      <c r="C7" s="1" t="s">
        <v>21</v>
      </c>
      <c r="D7" s="6">
        <v>1200000</v>
      </c>
      <c r="G7" s="1" t="s">
        <v>11</v>
      </c>
      <c r="H7" s="1" t="s">
        <v>12</v>
      </c>
    </row>
    <row r="8" spans="1:9" x14ac:dyDescent="0.3">
      <c r="G8" s="1" t="s">
        <v>22</v>
      </c>
      <c r="H8" s="1">
        <v>1500000</v>
      </c>
    </row>
    <row r="10" spans="1:9" x14ac:dyDescent="0.3">
      <c r="C10" cm="1">
        <f t="array" ref="C10:F10">_xlfn._xlws.FILTER(A2:D7,(C2:C7=G8)+(D2:D7&gt;H8),"-")</f>
        <v>5</v>
      </c>
      <c r="D10" t="str">
        <v>Tablet</v>
      </c>
      <c r="E10" t="str">
        <v>South</v>
      </c>
      <c r="F10">
        <v>1800000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5D94-ECF3-402D-A964-0DB849A48C6A}">
  <dimension ref="A1:J10"/>
  <sheetViews>
    <sheetView topLeftCell="B1" zoomScale="190" zoomScaleNormal="190" workbookViewId="0">
      <selection activeCell="G6" sqref="G6"/>
    </sheetView>
  </sheetViews>
  <sheetFormatPr defaultRowHeight="14.4" x14ac:dyDescent="0.3"/>
  <cols>
    <col min="1" max="1" width="18.44140625" customWidth="1"/>
    <col min="7" max="7" width="10.5546875" bestFit="1" customWidth="1"/>
    <col min="10" max="10" width="25.109375" customWidth="1"/>
  </cols>
  <sheetData>
    <row r="1" spans="1:10" x14ac:dyDescent="0.3">
      <c r="A1" s="3" t="s">
        <v>23</v>
      </c>
      <c r="C1" t="s">
        <v>26</v>
      </c>
      <c r="D1" t="s">
        <v>27</v>
      </c>
      <c r="E1" t="s">
        <v>28</v>
      </c>
      <c r="G1" t="s">
        <v>23</v>
      </c>
    </row>
    <row r="2" spans="1:10" x14ac:dyDescent="0.3">
      <c r="A2" s="11">
        <v>45966</v>
      </c>
      <c r="C2">
        <f>DAY(A2)</f>
        <v>5</v>
      </c>
      <c r="D2">
        <f>MONTH(A2)</f>
        <v>11</v>
      </c>
      <c r="E2">
        <f>YEAR(A2)</f>
        <v>2025</v>
      </c>
      <c r="G2" s="12">
        <f>DATE(E2,D2,C2)</f>
        <v>45966</v>
      </c>
    </row>
    <row r="3" spans="1:10" x14ac:dyDescent="0.3">
      <c r="A3" s="8"/>
    </row>
    <row r="4" spans="1:10" x14ac:dyDescent="0.3">
      <c r="A4" s="8"/>
    </row>
    <row r="5" spans="1:10" x14ac:dyDescent="0.3">
      <c r="A5" s="2" t="s">
        <v>24</v>
      </c>
      <c r="C5" t="s">
        <v>29</v>
      </c>
      <c r="D5" t="s">
        <v>30</v>
      </c>
      <c r="E5" t="s">
        <v>31</v>
      </c>
      <c r="G5" t="s">
        <v>24</v>
      </c>
    </row>
    <row r="6" spans="1:10" x14ac:dyDescent="0.3">
      <c r="A6" s="10">
        <v>0.43372685185185184</v>
      </c>
      <c r="C6">
        <f>HOUR(A6)</f>
        <v>10</v>
      </c>
      <c r="D6">
        <f>MINUTE(A6)</f>
        <v>24</v>
      </c>
      <c r="E6">
        <f>SECOND(A6)</f>
        <v>34</v>
      </c>
      <c r="G6" s="13">
        <f>TIME(C6,D6,E6)</f>
        <v>0.43372685185185184</v>
      </c>
    </row>
    <row r="7" spans="1:10" x14ac:dyDescent="0.3">
      <c r="A7" s="8"/>
    </row>
    <row r="8" spans="1:10" x14ac:dyDescent="0.3">
      <c r="A8" s="8"/>
      <c r="J8" s="7">
        <f ca="1">NOW()</f>
        <v>46001.608541319445</v>
      </c>
    </row>
    <row r="9" spans="1:10" x14ac:dyDescent="0.3">
      <c r="A9" s="8" t="s">
        <v>25</v>
      </c>
    </row>
    <row r="10" spans="1:10" x14ac:dyDescent="0.3">
      <c r="A10" s="9">
        <v>45813.437777777777</v>
      </c>
      <c r="J10" s="12">
        <f ca="1">TODAY()</f>
        <v>46001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DB09-122B-4DE5-BFCB-7C96074DD5A8}">
  <dimension ref="A1:E90"/>
  <sheetViews>
    <sheetView tabSelected="1" topLeftCell="A16" workbookViewId="0">
      <selection activeCell="H10" sqref="H10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23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 s="12">
        <v>45292</v>
      </c>
      <c r="B2">
        <v>120</v>
      </c>
      <c r="C2">
        <v>3</v>
      </c>
      <c r="D2" t="s">
        <v>40</v>
      </c>
      <c r="E2" t="s">
        <v>41</v>
      </c>
    </row>
    <row r="3" spans="1:5" x14ac:dyDescent="0.3">
      <c r="A3" s="12">
        <v>45293</v>
      </c>
      <c r="B3">
        <v>450</v>
      </c>
      <c r="C3">
        <v>1</v>
      </c>
      <c r="D3" t="s">
        <v>42</v>
      </c>
      <c r="E3" t="s">
        <v>43</v>
      </c>
    </row>
    <row r="4" spans="1:5" x14ac:dyDescent="0.3">
      <c r="A4" s="12">
        <v>45294</v>
      </c>
      <c r="B4">
        <v>85</v>
      </c>
      <c r="C4">
        <v>5</v>
      </c>
      <c r="D4" t="s">
        <v>44</v>
      </c>
      <c r="E4" t="s">
        <v>41</v>
      </c>
    </row>
    <row r="5" spans="1:5" x14ac:dyDescent="0.3">
      <c r="A5" s="12">
        <v>45295</v>
      </c>
      <c r="B5">
        <v>230</v>
      </c>
      <c r="C5">
        <v>2</v>
      </c>
      <c r="D5" t="s">
        <v>40</v>
      </c>
      <c r="E5" t="s">
        <v>41</v>
      </c>
    </row>
    <row r="6" spans="1:5" x14ac:dyDescent="0.3">
      <c r="A6" s="12">
        <v>45296</v>
      </c>
      <c r="B6">
        <v>999</v>
      </c>
      <c r="C6">
        <v>1</v>
      </c>
      <c r="D6" t="s">
        <v>45</v>
      </c>
      <c r="E6" t="s">
        <v>43</v>
      </c>
    </row>
    <row r="7" spans="1:5" x14ac:dyDescent="0.3">
      <c r="A7" s="12">
        <v>45297</v>
      </c>
      <c r="B7">
        <v>75</v>
      </c>
      <c r="C7">
        <v>4</v>
      </c>
      <c r="D7" t="s">
        <v>40</v>
      </c>
      <c r="E7" t="s">
        <v>41</v>
      </c>
    </row>
    <row r="8" spans="1:5" x14ac:dyDescent="0.3">
      <c r="A8" s="12">
        <v>45298</v>
      </c>
      <c r="B8">
        <v>310</v>
      </c>
      <c r="C8">
        <v>2</v>
      </c>
      <c r="D8" t="s">
        <v>42</v>
      </c>
      <c r="E8" t="s">
        <v>41</v>
      </c>
    </row>
    <row r="9" spans="1:5" x14ac:dyDescent="0.3">
      <c r="A9" s="12">
        <v>45299</v>
      </c>
      <c r="B9">
        <v>150</v>
      </c>
      <c r="C9">
        <v>3</v>
      </c>
      <c r="D9" t="s">
        <v>44</v>
      </c>
      <c r="E9" t="s">
        <v>43</v>
      </c>
    </row>
    <row r="10" spans="1:5" x14ac:dyDescent="0.3">
      <c r="A10" s="12">
        <v>45300</v>
      </c>
      <c r="B10">
        <v>410</v>
      </c>
      <c r="C10">
        <v>1</v>
      </c>
      <c r="D10" t="s">
        <v>45</v>
      </c>
      <c r="E10" t="s">
        <v>41</v>
      </c>
    </row>
    <row r="11" spans="1:5" x14ac:dyDescent="0.3">
      <c r="A11" s="12">
        <v>45301</v>
      </c>
      <c r="B11">
        <v>95</v>
      </c>
      <c r="C11">
        <v>6</v>
      </c>
      <c r="D11" t="s">
        <v>40</v>
      </c>
      <c r="E11" t="s">
        <v>41</v>
      </c>
    </row>
    <row r="12" spans="1:5" x14ac:dyDescent="0.3">
      <c r="A12" s="12">
        <v>45302</v>
      </c>
      <c r="B12">
        <v>520</v>
      </c>
      <c r="C12">
        <v>1</v>
      </c>
      <c r="D12" t="s">
        <v>42</v>
      </c>
      <c r="E12" t="s">
        <v>41</v>
      </c>
    </row>
    <row r="13" spans="1:5" x14ac:dyDescent="0.3">
      <c r="A13" s="12">
        <v>45303</v>
      </c>
      <c r="B13">
        <v>60</v>
      </c>
      <c r="C13">
        <v>7</v>
      </c>
      <c r="D13" t="s">
        <v>44</v>
      </c>
      <c r="E13" t="s">
        <v>41</v>
      </c>
    </row>
    <row r="14" spans="1:5" x14ac:dyDescent="0.3">
      <c r="A14" s="12">
        <v>45304</v>
      </c>
      <c r="B14">
        <v>880</v>
      </c>
      <c r="C14">
        <v>1</v>
      </c>
      <c r="D14" t="s">
        <v>45</v>
      </c>
      <c r="E14" t="s">
        <v>43</v>
      </c>
    </row>
    <row r="15" spans="1:5" x14ac:dyDescent="0.3">
      <c r="A15" s="12">
        <v>45305</v>
      </c>
      <c r="B15">
        <v>140</v>
      </c>
      <c r="C15">
        <v>4</v>
      </c>
      <c r="D15" t="s">
        <v>40</v>
      </c>
      <c r="E15" t="s">
        <v>41</v>
      </c>
    </row>
    <row r="16" spans="1:5" x14ac:dyDescent="0.3">
      <c r="A16" s="12">
        <v>45306</v>
      </c>
      <c r="B16">
        <v>330</v>
      </c>
      <c r="C16">
        <v>2</v>
      </c>
      <c r="D16" t="s">
        <v>42</v>
      </c>
      <c r="E16" t="s">
        <v>41</v>
      </c>
    </row>
    <row r="17" spans="1:5" x14ac:dyDescent="0.3">
      <c r="A17" s="12">
        <v>45307</v>
      </c>
      <c r="B17">
        <v>200</v>
      </c>
      <c r="C17">
        <v>3</v>
      </c>
      <c r="D17" t="s">
        <v>44</v>
      </c>
      <c r="E17" t="s">
        <v>41</v>
      </c>
    </row>
    <row r="18" spans="1:5" x14ac:dyDescent="0.3">
      <c r="A18" s="12">
        <v>45308</v>
      </c>
      <c r="B18">
        <v>760</v>
      </c>
      <c r="C18">
        <v>1</v>
      </c>
      <c r="D18" t="s">
        <v>45</v>
      </c>
      <c r="E18" t="s">
        <v>41</v>
      </c>
    </row>
    <row r="19" spans="1:5" x14ac:dyDescent="0.3">
      <c r="A19" s="12">
        <v>45309</v>
      </c>
      <c r="B19">
        <v>110</v>
      </c>
      <c r="C19">
        <v>5</v>
      </c>
      <c r="D19" t="s">
        <v>40</v>
      </c>
      <c r="E19" t="s">
        <v>43</v>
      </c>
    </row>
    <row r="20" spans="1:5" x14ac:dyDescent="0.3">
      <c r="A20" s="12">
        <v>45310</v>
      </c>
      <c r="B20">
        <v>455</v>
      </c>
      <c r="C20">
        <v>2</v>
      </c>
      <c r="D20" t="s">
        <v>42</v>
      </c>
      <c r="E20" t="s">
        <v>41</v>
      </c>
    </row>
    <row r="21" spans="1:5" x14ac:dyDescent="0.3">
      <c r="A21" s="12">
        <v>45311</v>
      </c>
      <c r="B21">
        <v>95</v>
      </c>
      <c r="C21">
        <v>4</v>
      </c>
      <c r="D21" t="s">
        <v>44</v>
      </c>
      <c r="E21" t="s">
        <v>41</v>
      </c>
    </row>
    <row r="22" spans="1:5" x14ac:dyDescent="0.3">
      <c r="A22" s="12">
        <v>45312</v>
      </c>
      <c r="B22">
        <v>640</v>
      </c>
      <c r="C22">
        <v>1</v>
      </c>
      <c r="D22" t="s">
        <v>45</v>
      </c>
      <c r="E22" t="s">
        <v>43</v>
      </c>
    </row>
    <row r="23" spans="1:5" x14ac:dyDescent="0.3">
      <c r="A23" s="12">
        <v>45313</v>
      </c>
      <c r="B23">
        <v>130</v>
      </c>
      <c r="C23">
        <v>4</v>
      </c>
      <c r="D23" t="s">
        <v>40</v>
      </c>
      <c r="E23" t="s">
        <v>41</v>
      </c>
    </row>
    <row r="24" spans="1:5" x14ac:dyDescent="0.3">
      <c r="A24" s="12">
        <v>45314</v>
      </c>
      <c r="B24">
        <v>490</v>
      </c>
      <c r="C24">
        <v>1</v>
      </c>
      <c r="D24" t="s">
        <v>42</v>
      </c>
      <c r="E24" t="s">
        <v>41</v>
      </c>
    </row>
    <row r="25" spans="1:5" x14ac:dyDescent="0.3">
      <c r="A25" s="12">
        <v>45315</v>
      </c>
      <c r="B25">
        <v>70</v>
      </c>
      <c r="C25">
        <v>6</v>
      </c>
      <c r="D25" t="s">
        <v>44</v>
      </c>
      <c r="E25" t="s">
        <v>41</v>
      </c>
    </row>
    <row r="26" spans="1:5" x14ac:dyDescent="0.3">
      <c r="A26" s="12">
        <v>45316</v>
      </c>
      <c r="B26">
        <v>820</v>
      </c>
      <c r="C26">
        <v>1</v>
      </c>
      <c r="D26" t="s">
        <v>45</v>
      </c>
      <c r="E26" t="s">
        <v>41</v>
      </c>
    </row>
    <row r="27" spans="1:5" x14ac:dyDescent="0.3">
      <c r="A27" s="12">
        <v>45317</v>
      </c>
      <c r="B27">
        <v>145</v>
      </c>
      <c r="C27">
        <v>3</v>
      </c>
      <c r="D27" t="s">
        <v>40</v>
      </c>
      <c r="E27" t="s">
        <v>43</v>
      </c>
    </row>
    <row r="28" spans="1:5" x14ac:dyDescent="0.3">
      <c r="A28" s="12">
        <v>45318</v>
      </c>
      <c r="B28">
        <v>380</v>
      </c>
      <c r="C28">
        <v>2</v>
      </c>
      <c r="D28" t="s">
        <v>42</v>
      </c>
      <c r="E28" t="s">
        <v>41</v>
      </c>
    </row>
    <row r="29" spans="1:5" x14ac:dyDescent="0.3">
      <c r="A29" s="12">
        <v>45319</v>
      </c>
      <c r="B29">
        <v>120</v>
      </c>
      <c r="C29">
        <v>4</v>
      </c>
      <c r="D29" t="s">
        <v>44</v>
      </c>
      <c r="E29" t="s">
        <v>41</v>
      </c>
    </row>
    <row r="30" spans="1:5" x14ac:dyDescent="0.3">
      <c r="A30" s="12">
        <v>45320</v>
      </c>
      <c r="B30">
        <v>700</v>
      </c>
      <c r="C30">
        <v>1</v>
      </c>
      <c r="D30" t="s">
        <v>45</v>
      </c>
      <c r="E30" t="s">
        <v>41</v>
      </c>
    </row>
    <row r="31" spans="1:5" x14ac:dyDescent="0.3">
      <c r="A31" s="12">
        <v>45321</v>
      </c>
      <c r="B31">
        <v>160</v>
      </c>
      <c r="C31">
        <v>3</v>
      </c>
      <c r="D31" t="s">
        <v>40</v>
      </c>
      <c r="E31" t="s">
        <v>41</v>
      </c>
    </row>
    <row r="32" spans="1:5" x14ac:dyDescent="0.3">
      <c r="A32" s="12">
        <v>45323</v>
      </c>
      <c r="B32">
        <v>430</v>
      </c>
      <c r="C32">
        <v>2</v>
      </c>
      <c r="D32" t="s">
        <v>42</v>
      </c>
      <c r="E32" t="s">
        <v>43</v>
      </c>
    </row>
    <row r="33" spans="1:5" x14ac:dyDescent="0.3">
      <c r="A33" s="12">
        <v>45324</v>
      </c>
      <c r="B33">
        <v>85</v>
      </c>
      <c r="C33">
        <v>5</v>
      </c>
      <c r="D33" t="s">
        <v>44</v>
      </c>
      <c r="E33" t="s">
        <v>41</v>
      </c>
    </row>
    <row r="34" spans="1:5" x14ac:dyDescent="0.3">
      <c r="A34" s="12">
        <v>45325</v>
      </c>
      <c r="B34">
        <v>950</v>
      </c>
      <c r="C34">
        <v>1</v>
      </c>
      <c r="D34" t="s">
        <v>45</v>
      </c>
      <c r="E34" t="s">
        <v>41</v>
      </c>
    </row>
    <row r="35" spans="1:5" x14ac:dyDescent="0.3">
      <c r="A35" s="12">
        <v>45326</v>
      </c>
      <c r="B35">
        <v>100</v>
      </c>
      <c r="C35">
        <v>4</v>
      </c>
      <c r="D35" t="s">
        <v>40</v>
      </c>
      <c r="E35" t="s">
        <v>41</v>
      </c>
    </row>
    <row r="36" spans="1:5" x14ac:dyDescent="0.3">
      <c r="A36" s="12">
        <v>45327</v>
      </c>
      <c r="B36">
        <v>510</v>
      </c>
      <c r="C36">
        <v>1</v>
      </c>
      <c r="D36" t="s">
        <v>42</v>
      </c>
      <c r="E36" t="s">
        <v>41</v>
      </c>
    </row>
    <row r="37" spans="1:5" x14ac:dyDescent="0.3">
      <c r="A37" s="12">
        <v>45328</v>
      </c>
      <c r="B37">
        <v>65</v>
      </c>
      <c r="C37">
        <v>7</v>
      </c>
      <c r="D37" t="s">
        <v>44</v>
      </c>
      <c r="E37" t="s">
        <v>43</v>
      </c>
    </row>
    <row r="38" spans="1:5" x14ac:dyDescent="0.3">
      <c r="A38" s="12">
        <v>45329</v>
      </c>
      <c r="B38">
        <v>870</v>
      </c>
      <c r="C38">
        <v>1</v>
      </c>
      <c r="D38" t="s">
        <v>45</v>
      </c>
      <c r="E38" t="s">
        <v>41</v>
      </c>
    </row>
    <row r="39" spans="1:5" x14ac:dyDescent="0.3">
      <c r="A39" s="12">
        <v>45330</v>
      </c>
      <c r="B39">
        <v>155</v>
      </c>
      <c r="C39">
        <v>3</v>
      </c>
      <c r="D39" t="s">
        <v>40</v>
      </c>
      <c r="E39" t="s">
        <v>41</v>
      </c>
    </row>
    <row r="40" spans="1:5" x14ac:dyDescent="0.3">
      <c r="A40" s="12">
        <v>45331</v>
      </c>
      <c r="B40">
        <v>340</v>
      </c>
      <c r="C40">
        <v>2</v>
      </c>
      <c r="D40" t="s">
        <v>42</v>
      </c>
      <c r="E40" t="s">
        <v>41</v>
      </c>
    </row>
    <row r="41" spans="1:5" x14ac:dyDescent="0.3">
      <c r="A41" s="12">
        <v>45332</v>
      </c>
      <c r="B41">
        <v>210</v>
      </c>
      <c r="C41">
        <v>3</v>
      </c>
      <c r="D41" t="s">
        <v>44</v>
      </c>
      <c r="E41" t="s">
        <v>41</v>
      </c>
    </row>
    <row r="42" spans="1:5" x14ac:dyDescent="0.3">
      <c r="A42" s="12">
        <v>45333</v>
      </c>
      <c r="B42">
        <v>740</v>
      </c>
      <c r="C42">
        <v>1</v>
      </c>
      <c r="D42" t="s">
        <v>45</v>
      </c>
      <c r="E42" t="s">
        <v>43</v>
      </c>
    </row>
    <row r="43" spans="1:5" x14ac:dyDescent="0.3">
      <c r="A43" s="12">
        <v>45334</v>
      </c>
      <c r="B43">
        <v>125</v>
      </c>
      <c r="C43">
        <v>4</v>
      </c>
      <c r="D43" t="s">
        <v>40</v>
      </c>
      <c r="E43" t="s">
        <v>41</v>
      </c>
    </row>
    <row r="44" spans="1:5" x14ac:dyDescent="0.3">
      <c r="A44" s="12">
        <v>45335</v>
      </c>
      <c r="B44">
        <v>480</v>
      </c>
      <c r="C44">
        <v>1</v>
      </c>
      <c r="D44" t="s">
        <v>42</v>
      </c>
      <c r="E44" t="s">
        <v>41</v>
      </c>
    </row>
    <row r="45" spans="1:5" x14ac:dyDescent="0.3">
      <c r="A45" s="12">
        <v>45336</v>
      </c>
      <c r="B45">
        <v>90</v>
      </c>
      <c r="C45">
        <v>6</v>
      </c>
      <c r="D45" t="s">
        <v>44</v>
      </c>
      <c r="E45" t="s">
        <v>41</v>
      </c>
    </row>
    <row r="46" spans="1:5" x14ac:dyDescent="0.3">
      <c r="A46" s="12">
        <v>45337</v>
      </c>
      <c r="B46">
        <v>825</v>
      </c>
      <c r="C46">
        <v>1</v>
      </c>
      <c r="D46" t="s">
        <v>45</v>
      </c>
      <c r="E46" t="s">
        <v>43</v>
      </c>
    </row>
    <row r="47" spans="1:5" x14ac:dyDescent="0.3">
      <c r="A47" s="12">
        <v>45338</v>
      </c>
      <c r="B47">
        <v>150</v>
      </c>
      <c r="C47">
        <v>3</v>
      </c>
      <c r="D47" t="s">
        <v>40</v>
      </c>
      <c r="E47" t="s">
        <v>41</v>
      </c>
    </row>
    <row r="48" spans="1:5" x14ac:dyDescent="0.3">
      <c r="A48" s="12">
        <v>45339</v>
      </c>
      <c r="B48">
        <v>360</v>
      </c>
      <c r="C48">
        <v>2</v>
      </c>
      <c r="D48" t="s">
        <v>42</v>
      </c>
      <c r="E48" t="s">
        <v>41</v>
      </c>
    </row>
    <row r="49" spans="1:5" x14ac:dyDescent="0.3">
      <c r="A49" s="12">
        <v>45340</v>
      </c>
      <c r="B49">
        <v>115</v>
      </c>
      <c r="C49">
        <v>4</v>
      </c>
      <c r="D49" t="s">
        <v>44</v>
      </c>
      <c r="E49" t="s">
        <v>41</v>
      </c>
    </row>
    <row r="50" spans="1:5" x14ac:dyDescent="0.3">
      <c r="A50" s="12">
        <v>45341</v>
      </c>
      <c r="B50">
        <v>690</v>
      </c>
      <c r="C50">
        <v>1</v>
      </c>
      <c r="D50" t="s">
        <v>45</v>
      </c>
      <c r="E50" t="s">
        <v>41</v>
      </c>
    </row>
    <row r="51" spans="1:5" x14ac:dyDescent="0.3">
      <c r="A51" s="12">
        <v>45342</v>
      </c>
      <c r="B51">
        <v>135</v>
      </c>
      <c r="C51">
        <v>3</v>
      </c>
      <c r="D51" t="s">
        <v>40</v>
      </c>
      <c r="E51" t="s">
        <v>43</v>
      </c>
    </row>
    <row r="52" spans="1:5" x14ac:dyDescent="0.3">
      <c r="A52" s="12">
        <v>45343</v>
      </c>
      <c r="B52">
        <v>470</v>
      </c>
      <c r="C52">
        <v>1</v>
      </c>
      <c r="D52" t="s">
        <v>42</v>
      </c>
      <c r="E52" t="s">
        <v>41</v>
      </c>
    </row>
    <row r="53" spans="1:5" x14ac:dyDescent="0.3">
      <c r="A53" s="12">
        <v>45344</v>
      </c>
      <c r="B53">
        <v>75</v>
      </c>
      <c r="C53">
        <v>6</v>
      </c>
      <c r="D53" t="s">
        <v>44</v>
      </c>
      <c r="E53" t="s">
        <v>41</v>
      </c>
    </row>
    <row r="54" spans="1:5" x14ac:dyDescent="0.3">
      <c r="A54" s="12">
        <v>45345</v>
      </c>
      <c r="B54">
        <v>810</v>
      </c>
      <c r="C54">
        <v>1</v>
      </c>
      <c r="D54" t="s">
        <v>45</v>
      </c>
      <c r="E54" t="s">
        <v>41</v>
      </c>
    </row>
    <row r="55" spans="1:5" x14ac:dyDescent="0.3">
      <c r="A55" s="12">
        <v>45346</v>
      </c>
      <c r="B55">
        <v>140</v>
      </c>
      <c r="C55">
        <v>4</v>
      </c>
      <c r="D55" t="s">
        <v>40</v>
      </c>
      <c r="E55" t="s">
        <v>41</v>
      </c>
    </row>
    <row r="56" spans="1:5" x14ac:dyDescent="0.3">
      <c r="A56" s="12">
        <v>45347</v>
      </c>
      <c r="B56">
        <v>395</v>
      </c>
      <c r="C56">
        <v>2</v>
      </c>
      <c r="D56" t="s">
        <v>42</v>
      </c>
      <c r="E56" t="s">
        <v>43</v>
      </c>
    </row>
    <row r="57" spans="1:5" x14ac:dyDescent="0.3">
      <c r="A57" s="12">
        <v>45348</v>
      </c>
      <c r="B57">
        <v>125</v>
      </c>
      <c r="C57">
        <v>5</v>
      </c>
      <c r="D57" t="s">
        <v>44</v>
      </c>
      <c r="E57" t="s">
        <v>41</v>
      </c>
    </row>
    <row r="58" spans="1:5" x14ac:dyDescent="0.3">
      <c r="A58" s="12">
        <v>45349</v>
      </c>
      <c r="B58">
        <v>720</v>
      </c>
      <c r="C58">
        <v>1</v>
      </c>
      <c r="D58" t="s">
        <v>45</v>
      </c>
      <c r="E58" t="s">
        <v>41</v>
      </c>
    </row>
    <row r="59" spans="1:5" x14ac:dyDescent="0.3">
      <c r="A59" s="12">
        <v>45350</v>
      </c>
      <c r="B59">
        <v>165</v>
      </c>
      <c r="C59">
        <v>3</v>
      </c>
      <c r="D59" t="s">
        <v>40</v>
      </c>
      <c r="E59" t="s">
        <v>41</v>
      </c>
    </row>
    <row r="60" spans="1:5" x14ac:dyDescent="0.3">
      <c r="A60" s="12">
        <v>45352</v>
      </c>
      <c r="B60">
        <v>450</v>
      </c>
      <c r="C60">
        <v>2</v>
      </c>
      <c r="D60" t="s">
        <v>42</v>
      </c>
      <c r="E60" t="s">
        <v>41</v>
      </c>
    </row>
    <row r="61" spans="1:5" x14ac:dyDescent="0.3">
      <c r="A61" s="12">
        <v>45353</v>
      </c>
      <c r="B61">
        <v>95</v>
      </c>
      <c r="C61">
        <v>4</v>
      </c>
      <c r="D61" t="s">
        <v>44</v>
      </c>
      <c r="E61" t="s">
        <v>41</v>
      </c>
    </row>
    <row r="62" spans="1:5" x14ac:dyDescent="0.3">
      <c r="A62" s="12">
        <v>45354</v>
      </c>
      <c r="B62">
        <v>900</v>
      </c>
      <c r="C62">
        <v>1</v>
      </c>
      <c r="D62" t="s">
        <v>45</v>
      </c>
      <c r="E62" t="s">
        <v>43</v>
      </c>
    </row>
    <row r="63" spans="1:5" x14ac:dyDescent="0.3">
      <c r="A63" s="12">
        <v>45355</v>
      </c>
      <c r="B63">
        <v>105</v>
      </c>
      <c r="C63">
        <v>5</v>
      </c>
      <c r="D63" t="s">
        <v>40</v>
      </c>
      <c r="E63" t="s">
        <v>41</v>
      </c>
    </row>
    <row r="64" spans="1:5" x14ac:dyDescent="0.3">
      <c r="A64" s="12">
        <v>45356</v>
      </c>
      <c r="B64">
        <v>530</v>
      </c>
      <c r="C64">
        <v>1</v>
      </c>
      <c r="D64" t="s">
        <v>42</v>
      </c>
      <c r="E64" t="s">
        <v>41</v>
      </c>
    </row>
    <row r="65" spans="1:5" x14ac:dyDescent="0.3">
      <c r="A65" s="12">
        <v>45357</v>
      </c>
      <c r="B65">
        <v>70</v>
      </c>
      <c r="C65">
        <v>7</v>
      </c>
      <c r="D65" t="s">
        <v>44</v>
      </c>
      <c r="E65" t="s">
        <v>41</v>
      </c>
    </row>
    <row r="66" spans="1:5" x14ac:dyDescent="0.3">
      <c r="A66" s="12">
        <v>45358</v>
      </c>
      <c r="B66">
        <v>855</v>
      </c>
      <c r="C66">
        <v>1</v>
      </c>
      <c r="D66" t="s">
        <v>45</v>
      </c>
      <c r="E66" t="s">
        <v>41</v>
      </c>
    </row>
    <row r="67" spans="1:5" x14ac:dyDescent="0.3">
      <c r="A67" s="12">
        <v>45359</v>
      </c>
      <c r="B67">
        <v>160</v>
      </c>
      <c r="C67">
        <v>3</v>
      </c>
      <c r="D67" t="s">
        <v>40</v>
      </c>
      <c r="E67" t="s">
        <v>41</v>
      </c>
    </row>
    <row r="68" spans="1:5" x14ac:dyDescent="0.3">
      <c r="A68" s="12">
        <v>45360</v>
      </c>
      <c r="B68">
        <v>370</v>
      </c>
      <c r="C68">
        <v>2</v>
      </c>
      <c r="D68" t="s">
        <v>42</v>
      </c>
      <c r="E68" t="s">
        <v>43</v>
      </c>
    </row>
    <row r="69" spans="1:5" x14ac:dyDescent="0.3">
      <c r="A69" s="12">
        <v>45361</v>
      </c>
      <c r="B69">
        <v>220</v>
      </c>
      <c r="C69">
        <v>3</v>
      </c>
      <c r="D69" t="s">
        <v>44</v>
      </c>
      <c r="E69" t="s">
        <v>41</v>
      </c>
    </row>
    <row r="70" spans="1:5" x14ac:dyDescent="0.3">
      <c r="A70" s="12">
        <v>45362</v>
      </c>
      <c r="B70">
        <v>765</v>
      </c>
      <c r="C70">
        <v>1</v>
      </c>
      <c r="D70" t="s">
        <v>45</v>
      </c>
      <c r="E70" t="s">
        <v>41</v>
      </c>
    </row>
    <row r="71" spans="1:5" x14ac:dyDescent="0.3">
      <c r="A71" s="12">
        <v>45363</v>
      </c>
      <c r="B71">
        <v>130</v>
      </c>
      <c r="C71">
        <v>4</v>
      </c>
      <c r="D71" t="s">
        <v>40</v>
      </c>
      <c r="E71" t="s">
        <v>41</v>
      </c>
    </row>
    <row r="72" spans="1:5" x14ac:dyDescent="0.3">
      <c r="A72" s="12">
        <v>45364</v>
      </c>
      <c r="B72">
        <v>495</v>
      </c>
      <c r="C72">
        <v>1</v>
      </c>
      <c r="D72" t="s">
        <v>42</v>
      </c>
      <c r="E72" t="s">
        <v>41</v>
      </c>
    </row>
    <row r="73" spans="1:5" x14ac:dyDescent="0.3">
      <c r="A73" s="12">
        <v>45365</v>
      </c>
      <c r="B73">
        <v>85</v>
      </c>
      <c r="C73">
        <v>6</v>
      </c>
      <c r="D73" t="s">
        <v>44</v>
      </c>
      <c r="E73" t="s">
        <v>41</v>
      </c>
    </row>
    <row r="74" spans="1:5" x14ac:dyDescent="0.3">
      <c r="A74" s="12">
        <v>45366</v>
      </c>
      <c r="B74">
        <v>840</v>
      </c>
      <c r="C74">
        <v>1</v>
      </c>
      <c r="D74" t="s">
        <v>45</v>
      </c>
      <c r="E74" t="s">
        <v>43</v>
      </c>
    </row>
    <row r="75" spans="1:5" x14ac:dyDescent="0.3">
      <c r="A75" s="12">
        <v>45367</v>
      </c>
      <c r="B75">
        <v>145</v>
      </c>
      <c r="C75">
        <v>3</v>
      </c>
      <c r="D75" t="s">
        <v>40</v>
      </c>
      <c r="E75" t="s">
        <v>41</v>
      </c>
    </row>
    <row r="76" spans="1:5" x14ac:dyDescent="0.3">
      <c r="A76" s="12">
        <v>45368</v>
      </c>
      <c r="B76">
        <v>355</v>
      </c>
      <c r="C76">
        <v>2</v>
      </c>
      <c r="D76" t="s">
        <v>42</v>
      </c>
      <c r="E76" t="s">
        <v>41</v>
      </c>
    </row>
    <row r="77" spans="1:5" x14ac:dyDescent="0.3">
      <c r="A77" s="12">
        <v>45369</v>
      </c>
      <c r="B77">
        <v>100</v>
      </c>
      <c r="C77">
        <v>4</v>
      </c>
      <c r="D77" t="s">
        <v>44</v>
      </c>
      <c r="E77" t="s">
        <v>41</v>
      </c>
    </row>
    <row r="78" spans="1:5" x14ac:dyDescent="0.3">
      <c r="A78" s="12">
        <v>45370</v>
      </c>
      <c r="B78">
        <v>710</v>
      </c>
      <c r="C78">
        <v>1</v>
      </c>
      <c r="D78" t="s">
        <v>45</v>
      </c>
      <c r="E78" t="s">
        <v>41</v>
      </c>
    </row>
    <row r="79" spans="1:5" x14ac:dyDescent="0.3">
      <c r="A79" s="12">
        <v>45371</v>
      </c>
      <c r="B79">
        <v>150</v>
      </c>
      <c r="C79">
        <v>5</v>
      </c>
      <c r="D79" t="s">
        <v>40</v>
      </c>
      <c r="E79" t="s">
        <v>43</v>
      </c>
    </row>
    <row r="80" spans="1:5" x14ac:dyDescent="0.3">
      <c r="A80" s="12">
        <v>45372</v>
      </c>
      <c r="B80">
        <v>460</v>
      </c>
      <c r="C80">
        <v>1</v>
      </c>
      <c r="D80" t="s">
        <v>42</v>
      </c>
      <c r="E80" t="s">
        <v>41</v>
      </c>
    </row>
    <row r="81" spans="1:5" x14ac:dyDescent="0.3">
      <c r="A81" s="12">
        <v>45373</v>
      </c>
      <c r="B81">
        <v>80</v>
      </c>
      <c r="C81">
        <v>6</v>
      </c>
      <c r="D81" t="s">
        <v>44</v>
      </c>
      <c r="E81" t="s">
        <v>41</v>
      </c>
    </row>
    <row r="82" spans="1:5" x14ac:dyDescent="0.3">
      <c r="A82" s="12">
        <v>45374</v>
      </c>
      <c r="B82">
        <v>890</v>
      </c>
      <c r="C82">
        <v>1</v>
      </c>
      <c r="D82" t="s">
        <v>45</v>
      </c>
      <c r="E82" t="s">
        <v>41</v>
      </c>
    </row>
    <row r="83" spans="1:5" x14ac:dyDescent="0.3">
      <c r="A83" s="12">
        <v>45375</v>
      </c>
      <c r="B83">
        <v>135</v>
      </c>
      <c r="C83">
        <v>3</v>
      </c>
      <c r="D83" t="s">
        <v>40</v>
      </c>
      <c r="E83" t="s">
        <v>41</v>
      </c>
    </row>
    <row r="84" spans="1:5" x14ac:dyDescent="0.3">
      <c r="A84" s="12">
        <v>45376</v>
      </c>
      <c r="B84">
        <v>410</v>
      </c>
      <c r="C84">
        <v>2</v>
      </c>
      <c r="D84" t="s">
        <v>42</v>
      </c>
      <c r="E84" t="s">
        <v>41</v>
      </c>
    </row>
    <row r="85" spans="1:5" x14ac:dyDescent="0.3">
      <c r="A85" s="12">
        <v>45377</v>
      </c>
      <c r="B85">
        <v>115</v>
      </c>
      <c r="C85">
        <v>5</v>
      </c>
      <c r="D85" t="s">
        <v>44</v>
      </c>
      <c r="E85" t="s">
        <v>41</v>
      </c>
    </row>
    <row r="86" spans="1:5" x14ac:dyDescent="0.3">
      <c r="A86" s="12">
        <v>45378</v>
      </c>
      <c r="B86">
        <v>750</v>
      </c>
      <c r="C86">
        <v>1</v>
      </c>
      <c r="D86" t="s">
        <v>45</v>
      </c>
      <c r="E86" t="s">
        <v>43</v>
      </c>
    </row>
    <row r="87" spans="1:5" x14ac:dyDescent="0.3">
      <c r="A87" s="12">
        <v>45379</v>
      </c>
      <c r="B87">
        <v>155</v>
      </c>
      <c r="C87">
        <v>4</v>
      </c>
      <c r="D87" t="s">
        <v>40</v>
      </c>
      <c r="E87" t="s">
        <v>41</v>
      </c>
    </row>
    <row r="88" spans="1:5" x14ac:dyDescent="0.3">
      <c r="A88" s="12">
        <v>45380</v>
      </c>
      <c r="B88">
        <v>445</v>
      </c>
      <c r="C88">
        <v>1</v>
      </c>
      <c r="D88" t="s">
        <v>42</v>
      </c>
      <c r="E88" t="s">
        <v>41</v>
      </c>
    </row>
    <row r="89" spans="1:5" x14ac:dyDescent="0.3">
      <c r="A89" s="12">
        <v>45381</v>
      </c>
      <c r="B89">
        <v>95</v>
      </c>
      <c r="C89">
        <v>7</v>
      </c>
      <c r="D89" t="s">
        <v>44</v>
      </c>
      <c r="E89" t="s">
        <v>41</v>
      </c>
    </row>
    <row r="90" spans="1:5" x14ac:dyDescent="0.3">
      <c r="A90" s="12">
        <v>45382</v>
      </c>
      <c r="B90">
        <v>830</v>
      </c>
      <c r="C90">
        <v>1</v>
      </c>
      <c r="D90" t="s">
        <v>45</v>
      </c>
      <c r="E9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2025-11-11T03:28:35Z</dcterms:created>
  <dcterms:modified xsi:type="dcterms:W3CDTF">2025-12-10T09:28:29Z</dcterms:modified>
</cp:coreProperties>
</file>