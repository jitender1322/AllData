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Data\Excel9to10\"/>
    </mc:Choice>
  </mc:AlternateContent>
  <xr:revisionPtr revIDLastSave="0" documentId="13_ncr:1_{0EEA9C50-2E90-4DA6-9BC2-66083E9A8168}" xr6:coauthVersionLast="47" xr6:coauthVersionMax="47" xr10:uidLastSave="{00000000-0000-0000-0000-000000000000}"/>
  <bookViews>
    <workbookView xWindow="-108" yWindow="-108" windowWidth="23256" windowHeight="12456" xr2:uid="{2512ACFF-6BB2-43B1-A3A0-88C268584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K3" i="1"/>
  <c r="K4" i="1"/>
  <c r="K5" i="1"/>
  <c r="K6" i="1"/>
  <c r="K2" i="1"/>
  <c r="G15" i="1"/>
  <c r="H12" i="1"/>
  <c r="H11" i="1"/>
  <c r="G12" i="1"/>
  <c r="G11" i="1"/>
  <c r="E11" i="1"/>
  <c r="G14" i="1"/>
  <c r="J10" i="1"/>
  <c r="J3" i="1"/>
  <c r="J4" i="1"/>
  <c r="J5" i="1"/>
  <c r="J6" i="1"/>
  <c r="J2" i="1"/>
  <c r="I2" i="1" a="1"/>
  <c r="I2" i="1" s="1"/>
  <c r="I3" i="1" a="1"/>
  <c r="I3" i="1" s="1"/>
  <c r="I4" i="1" a="1"/>
  <c r="I4" i="1" s="1"/>
  <c r="I5" i="1" a="1"/>
  <c r="I5" i="1" s="1"/>
  <c r="I6" i="1" a="1"/>
  <c r="I6" i="1"/>
  <c r="H3" i="1"/>
  <c r="H5" i="1"/>
  <c r="H6" i="1"/>
  <c r="H2" i="1"/>
  <c r="G3" i="1"/>
  <c r="G4" i="1"/>
  <c r="H4" i="1" s="1"/>
  <c r="G5" i="1"/>
  <c r="G6" i="1"/>
  <c r="G2" i="1"/>
  <c r="F3" i="1"/>
  <c r="F4" i="1"/>
  <c r="F5" i="1"/>
  <c r="F6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<sst xmlns="http://schemas.openxmlformats.org/spreadsheetml/2006/main" count="49" uniqueCount="35">
  <si>
    <t>Sno.</t>
  </si>
  <si>
    <t>Maths</t>
  </si>
  <si>
    <t>Hindi</t>
  </si>
  <si>
    <t>English</t>
  </si>
  <si>
    <t>Total</t>
  </si>
  <si>
    <t>Average</t>
  </si>
  <si>
    <t>Grade</t>
  </si>
  <si>
    <t>City</t>
  </si>
  <si>
    <t>Sales</t>
  </si>
  <si>
    <t>OrderId</t>
  </si>
  <si>
    <t>Ny</t>
  </si>
  <si>
    <t>London</t>
  </si>
  <si>
    <t>Bc</t>
  </si>
  <si>
    <t>Surey</t>
  </si>
  <si>
    <t>B</t>
  </si>
  <si>
    <t>C</t>
  </si>
  <si>
    <t>A</t>
  </si>
  <si>
    <t>Name</t>
  </si>
  <si>
    <t>D</t>
  </si>
  <si>
    <t>E</t>
  </si>
  <si>
    <t>Result</t>
  </si>
  <si>
    <t>Eligibility for Science</t>
  </si>
  <si>
    <t>NewYork</t>
  </si>
  <si>
    <t xml:space="preserve">   London</t>
  </si>
  <si>
    <t>Product</t>
  </si>
  <si>
    <t>Region</t>
  </si>
  <si>
    <t>Quantity</t>
  </si>
  <si>
    <t>Apple</t>
  </si>
  <si>
    <t>North</t>
  </si>
  <si>
    <t>Banana</t>
  </si>
  <si>
    <t>South</t>
  </si>
  <si>
    <t>Orange</t>
  </si>
  <si>
    <t>Grapes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</si>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</sst>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14" fontId="0" fillId="0" borderId="0" xfId="0" applyNumberFormat="1"/>
    <xf numFmtId="2" fontId="0" fillId="0" borderId="0" xfId="0" applyNumberFormat="1"/>
    <xf numFmtId="0" fontId="1" fillId="0" borderId="3" xfId="0" applyFont="1" applyFill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D400-5C8A-4F54-8CB8-5C48635ED7B9}">
  <dimension ref="A1:K37"/>
  <sheetViews>
    <sheetView tabSelected="1" topLeftCell="A28" zoomScale="220" zoomScaleNormal="220" workbookViewId="0">
      <selection activeCell="A34" sqref="A34"/>
    </sheetView>
  </sheetViews>
  <sheetFormatPr defaultRowHeight="14.4" x14ac:dyDescent="0.3"/>
  <cols>
    <col min="1" max="1" width="7.21875" bestFit="1" customWidth="1"/>
    <col min="2" max="2" width="7.21875" customWidth="1"/>
    <col min="7" max="7" width="10.5546875" bestFit="1" customWidth="1"/>
    <col min="10" max="10" width="18.33203125" bestFit="1" customWidth="1"/>
  </cols>
  <sheetData>
    <row r="1" spans="1:11" x14ac:dyDescent="0.3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20</v>
      </c>
      <c r="I1" s="1" t="s">
        <v>6</v>
      </c>
      <c r="J1" s="8" t="s">
        <v>21</v>
      </c>
      <c r="K1" s="7"/>
    </row>
    <row r="2" spans="1:11" x14ac:dyDescent="0.3">
      <c r="A2" s="2">
        <v>1</v>
      </c>
      <c r="B2" s="2" t="s">
        <v>16</v>
      </c>
      <c r="C2" s="2">
        <v>70</v>
      </c>
      <c r="D2" s="2">
        <v>56</v>
      </c>
      <c r="E2" s="2">
        <v>56</v>
      </c>
      <c r="F2" s="2">
        <f>SUM(C2:E2)</f>
        <v>182</v>
      </c>
      <c r="G2" s="3">
        <f>AVERAGE(C2:E2)</f>
        <v>60.666666666666664</v>
      </c>
      <c r="H2" s="2" t="str">
        <f>IF(G2&gt;50,"Pass","Fail")</f>
        <v>Pass</v>
      </c>
      <c r="I2" s="2" t="str" cm="1">
        <f t="array" ref="I2">_xlfn.IFS(G2&gt;80,"A",G2&gt;60,"B",G2&gt;45,"C",TRUE,"D")</f>
        <v>B</v>
      </c>
      <c r="J2" t="str">
        <f>IF(AND(C2&gt;65,E2&gt;65),"YES","NO")</f>
        <v>NO</v>
      </c>
      <c r="K2" t="str">
        <f>LOWER(I2)</f>
        <v>b</v>
      </c>
    </row>
    <row r="3" spans="1:11" x14ac:dyDescent="0.3">
      <c r="A3" s="2">
        <v>2</v>
      </c>
      <c r="B3" s="2" t="s">
        <v>14</v>
      </c>
      <c r="C3" s="2">
        <v>45</v>
      </c>
      <c r="D3" s="2">
        <v>78</v>
      </c>
      <c r="E3" s="2">
        <v>45</v>
      </c>
      <c r="F3" s="2">
        <f>SUM(C3:E3)</f>
        <v>168</v>
      </c>
      <c r="G3" s="3">
        <f t="shared" ref="G3:G7" si="0">AVERAGE(C3:E3)</f>
        <v>56</v>
      </c>
      <c r="H3" s="2" t="str">
        <f t="shared" ref="H3:H6" si="1">IF(G3&gt;50,"Pass","Fail")</f>
        <v>Pass</v>
      </c>
      <c r="I3" s="2" t="str" cm="1">
        <f t="array" ref="I3">_xlfn.IFS(G3&gt;80,"A",G3&gt;60,"B",G3&gt;45,"C",TRUE,"D")</f>
        <v>C</v>
      </c>
      <c r="J3" t="str">
        <f t="shared" ref="J3:J6" si="2">IF(AND(C3&gt;65,E3&gt;65),"YES","NO")</f>
        <v>NO</v>
      </c>
      <c r="K3" t="str">
        <f t="shared" ref="K3:K6" si="3">LOWER(I3)</f>
        <v>c</v>
      </c>
    </row>
    <row r="4" spans="1:11" x14ac:dyDescent="0.3">
      <c r="A4" s="2">
        <v>3</v>
      </c>
      <c r="B4" s="2" t="s">
        <v>15</v>
      </c>
      <c r="C4" s="2">
        <v>23</v>
      </c>
      <c r="D4" s="2">
        <v>34</v>
      </c>
      <c r="E4" s="2">
        <v>56</v>
      </c>
      <c r="F4" s="2">
        <f>SUM(C4:E4)</f>
        <v>113</v>
      </c>
      <c r="G4" s="3">
        <f t="shared" si="0"/>
        <v>37.666666666666664</v>
      </c>
      <c r="H4" s="2" t="str">
        <f t="shared" si="1"/>
        <v>Fail</v>
      </c>
      <c r="I4" s="2" t="str" cm="1">
        <f t="array" ref="I4">_xlfn.IFS(G4&gt;80,"A",G4&gt;60,"B",G4&gt;45,"C",TRUE,"D")</f>
        <v>D</v>
      </c>
      <c r="J4" t="str">
        <f t="shared" si="2"/>
        <v>NO</v>
      </c>
      <c r="K4" t="str">
        <f t="shared" si="3"/>
        <v>d</v>
      </c>
    </row>
    <row r="5" spans="1:11" x14ac:dyDescent="0.3">
      <c r="A5" s="2">
        <v>4</v>
      </c>
      <c r="B5" s="2" t="s">
        <v>18</v>
      </c>
      <c r="C5" s="2">
        <v>84</v>
      </c>
      <c r="D5" s="2">
        <v>98</v>
      </c>
      <c r="E5" s="2">
        <v>76</v>
      </c>
      <c r="F5" s="2">
        <f>SUM(C5:E5)</f>
        <v>258</v>
      </c>
      <c r="G5" s="3">
        <f t="shared" si="0"/>
        <v>86</v>
      </c>
      <c r="H5" s="2" t="str">
        <f t="shared" si="1"/>
        <v>Pass</v>
      </c>
      <c r="I5" s="2" t="str" cm="1">
        <f t="array" ref="I5">_xlfn.IFS(G5&gt;80,"A",G5&gt;60,"B",G5&gt;45,"C",TRUE,"D")</f>
        <v>A</v>
      </c>
      <c r="J5" t="str">
        <f t="shared" si="2"/>
        <v>YES</v>
      </c>
      <c r="K5" t="str">
        <f t="shared" si="3"/>
        <v>a</v>
      </c>
    </row>
    <row r="6" spans="1:11" x14ac:dyDescent="0.3">
      <c r="A6" s="2">
        <v>5</v>
      </c>
      <c r="B6" s="2" t="s">
        <v>19</v>
      </c>
      <c r="C6" s="2">
        <v>23</v>
      </c>
      <c r="D6" s="2">
        <v>45</v>
      </c>
      <c r="E6" s="2">
        <v>34</v>
      </c>
      <c r="F6" s="2">
        <f>SUM(C6:E6)</f>
        <v>102</v>
      </c>
      <c r="G6" s="3">
        <f t="shared" si="0"/>
        <v>34</v>
      </c>
      <c r="H6" s="2" t="str">
        <f t="shared" si="1"/>
        <v>Fail</v>
      </c>
      <c r="I6" s="2" t="str" cm="1">
        <f t="array" ref="I6">_xlfn.IFS(G6&gt;80,"A",G6&gt;60,"B",G6&gt;45,"C",TRUE,"D")</f>
        <v>D</v>
      </c>
      <c r="J6" t="str">
        <f t="shared" si="2"/>
        <v>NO</v>
      </c>
      <c r="K6" t="str">
        <f t="shared" si="3"/>
        <v>d</v>
      </c>
    </row>
    <row r="7" spans="1:11" x14ac:dyDescent="0.3">
      <c r="A7" s="2"/>
      <c r="B7" s="2"/>
      <c r="C7" s="2"/>
      <c r="D7" s="2"/>
      <c r="E7" s="2"/>
      <c r="F7" s="2"/>
      <c r="G7" s="3"/>
      <c r="H7" s="2"/>
      <c r="I7" s="2"/>
    </row>
    <row r="8" spans="1:11" x14ac:dyDescent="0.3">
      <c r="G8" s="6"/>
    </row>
    <row r="9" spans="1:11" x14ac:dyDescent="0.3">
      <c r="G9" s="6"/>
    </row>
    <row r="10" spans="1:11" x14ac:dyDescent="0.3">
      <c r="A10" s="2" t="s">
        <v>9</v>
      </c>
      <c r="B10" s="2"/>
      <c r="C10" s="2" t="s">
        <v>7</v>
      </c>
      <c r="D10" s="2" t="s">
        <v>8</v>
      </c>
      <c r="G10" s="6"/>
      <c r="J10">
        <f>COUNTIF(E2:E6,"&gt;50")</f>
        <v>3</v>
      </c>
    </row>
    <row r="11" spans="1:11" x14ac:dyDescent="0.3">
      <c r="A11" s="2">
        <v>1</v>
      </c>
      <c r="B11" s="2"/>
      <c r="C11" s="2" t="s">
        <v>22</v>
      </c>
      <c r="D11" s="2">
        <v>1500000</v>
      </c>
      <c r="E11" t="str">
        <f>TEXT(D11,"#,##,###")</f>
        <v>15,00,000</v>
      </c>
      <c r="G11" t="str">
        <f>LEFT(C11,3)</f>
        <v>New</v>
      </c>
      <c r="H11" t="str">
        <f>MID(C11,2,4)</f>
        <v>ewYo</v>
      </c>
      <c r="J11" s="5"/>
    </row>
    <row r="12" spans="1:11" x14ac:dyDescent="0.3">
      <c r="A12" s="2">
        <v>2</v>
      </c>
      <c r="B12" s="2"/>
      <c r="C12" s="2" t="s">
        <v>11</v>
      </c>
      <c r="D12" s="2">
        <v>234</v>
      </c>
      <c r="G12" t="str">
        <f>RIGHT(C11,4)</f>
        <v>York</v>
      </c>
      <c r="H12">
        <f>LEN(C11)</f>
        <v>7</v>
      </c>
    </row>
    <row r="13" spans="1:11" x14ac:dyDescent="0.3">
      <c r="A13" s="2">
        <v>3</v>
      </c>
      <c r="B13" s="2"/>
      <c r="C13" s="2" t="s">
        <v>12</v>
      </c>
      <c r="D13" s="2">
        <v>478</v>
      </c>
    </row>
    <row r="14" spans="1:11" x14ac:dyDescent="0.3">
      <c r="A14" s="2">
        <v>4</v>
      </c>
      <c r="B14" s="2"/>
      <c r="C14" s="2" t="s">
        <v>13</v>
      </c>
      <c r="D14" s="2">
        <v>890</v>
      </c>
      <c r="G14">
        <f>AVERAGEIFS(D11:D17,D11:D17,"&gt;500",C11:C17,"=Ny")</f>
        <v>700</v>
      </c>
    </row>
    <row r="15" spans="1:11" x14ac:dyDescent="0.3">
      <c r="A15" s="2">
        <v>5</v>
      </c>
      <c r="B15" s="2"/>
      <c r="C15" s="2" t="s">
        <v>23</v>
      </c>
      <c r="D15" s="2">
        <v>500</v>
      </c>
      <c r="G15" t="str">
        <f>TRIM(C15)</f>
        <v>London</v>
      </c>
    </row>
    <row r="16" spans="1:11" x14ac:dyDescent="0.3">
      <c r="A16" s="4">
        <v>6</v>
      </c>
      <c r="B16" s="4"/>
      <c r="C16" s="4" t="s">
        <v>10</v>
      </c>
      <c r="D16" s="4">
        <v>450</v>
      </c>
    </row>
    <row r="17" spans="1:5" x14ac:dyDescent="0.3">
      <c r="A17" s="4">
        <v>7</v>
      </c>
      <c r="B17" s="4"/>
      <c r="C17" s="4" t="s">
        <v>10</v>
      </c>
      <c r="D17" s="4">
        <v>700</v>
      </c>
    </row>
    <row r="18" spans="1:5" x14ac:dyDescent="0.3">
      <c r="E18" t="str">
        <f>SUBSTITUTE(C11,"New","Old")</f>
        <v>OldYork</v>
      </c>
    </row>
    <row r="27" spans="1:5" x14ac:dyDescent="0.3">
      <c r="A27" t="s">
        <v>24</v>
      </c>
      <c r="B27" t="s">
        <v>25</v>
      </c>
      <c r="C27" t="s">
        <v>8</v>
      </c>
      <c r="D27" t="s">
        <v>26</v>
      </c>
    </row>
    <row r="28" spans="1:5" x14ac:dyDescent="0.3">
      <c r="A28" t="s">
        <v>27</v>
      </c>
      <c r="B28" t="s">
        <v>28</v>
      </c>
      <c r="C28">
        <v>1200</v>
      </c>
      <c r="D28">
        <v>10</v>
      </c>
    </row>
    <row r="29" spans="1:5" x14ac:dyDescent="0.3">
      <c r="A29" t="s">
        <v>29</v>
      </c>
      <c r="B29" t="s">
        <v>30</v>
      </c>
      <c r="C29">
        <v>800</v>
      </c>
      <c r="D29">
        <v>20</v>
      </c>
    </row>
    <row r="30" spans="1:5" x14ac:dyDescent="0.3">
      <c r="A30" t="s">
        <v>31</v>
      </c>
      <c r="B30" t="s">
        <v>28</v>
      </c>
      <c r="C30">
        <v>900</v>
      </c>
      <c r="D30">
        <v>15</v>
      </c>
    </row>
    <row r="31" spans="1:5" x14ac:dyDescent="0.3">
      <c r="A31" t="s">
        <v>27</v>
      </c>
      <c r="B31" t="s">
        <v>30</v>
      </c>
      <c r="C31">
        <v>1500</v>
      </c>
      <c r="D31">
        <v>25</v>
      </c>
    </row>
    <row r="32" spans="1:5" x14ac:dyDescent="0.3">
      <c r="A32" t="s">
        <v>32</v>
      </c>
      <c r="B32" t="s">
        <v>33</v>
      </c>
      <c r="C32">
        <v>700</v>
      </c>
      <c r="D32">
        <v>12</v>
      </c>
    </row>
    <row r="33" spans="1:4" x14ac:dyDescent="0.3">
      <c r="A33" t="s">
        <v>29</v>
      </c>
      <c r="B33" t="s">
        <v>34</v>
      </c>
      <c r="C33">
        <v>600</v>
      </c>
      <c r="D33">
        <v>18</v>
      </c>
    </row>
    <row r="34" spans="1:4" x14ac:dyDescent="0.3">
      <c r="A34" t="s">
        <v>31</v>
      </c>
      <c r="B34" t="s">
        <v>30</v>
      </c>
      <c r="C34">
        <v>1100</v>
      </c>
      <c r="D34">
        <v>22</v>
      </c>
    </row>
    <row r="35" spans="1:4" x14ac:dyDescent="0.3">
      <c r="A35" t="s">
        <v>27</v>
      </c>
      <c r="B35" t="s">
        <v>33</v>
      </c>
      <c r="C35">
        <v>1300</v>
      </c>
      <c r="D35">
        <v>17</v>
      </c>
    </row>
    <row r="36" spans="1:4" x14ac:dyDescent="0.3">
      <c r="A36" t="s">
        <v>32</v>
      </c>
      <c r="B36" t="s">
        <v>28</v>
      </c>
      <c r="C36">
        <v>500</v>
      </c>
      <c r="D36">
        <v>10</v>
      </c>
    </row>
    <row r="37" spans="1:4" x14ac:dyDescent="0.3">
      <c r="A37" t="s">
        <v>29</v>
      </c>
      <c r="B37" t="s">
        <v>28</v>
      </c>
      <c r="C37">
        <v>950</v>
      </c>
      <c r="D3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jitender sarswat</dc:creator>
  <cp:lastModifiedBy>jitender sarswat</cp:lastModifiedBy>
  <dcterms:created xsi:type="dcterms:W3CDTF">2025-11-06T03:28:05Z</dcterms:created>
  <dcterms:modified xsi:type="dcterms:W3CDTF">2025-12-05T09:15:33Z</dcterms:modified>
</cp:coreProperties>
</file>