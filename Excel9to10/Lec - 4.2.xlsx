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llData\Excel9to10\"/>
    </mc:Choice>
  </mc:AlternateContent>
  <xr:revisionPtr revIDLastSave="0" documentId="13_ncr:1_{CACFBE36-B55F-479C-80E5-0CD57DB65F1A}" xr6:coauthVersionLast="47" xr6:coauthVersionMax="47" xr10:uidLastSave="{00000000-0000-0000-0000-000000000000}"/>
  <bookViews>
    <workbookView xWindow="-120" yWindow="-120" windowWidth="29040" windowHeight="15720" activeTab="1" xr2:uid="{6C2C9399-45F9-4682-AC1B-4E221ED87509}"/>
  </bookViews>
  <sheets>
    <sheet name="Theory" sheetId="4" r:id="rId1"/>
    <sheet name="Pizza Price Prediction" sheetId="3" r:id="rId2"/>
    <sheet name="Lemonade Sold Prediction" sheetId="1" r:id="rId3"/>
    <sheet name="House Price Prediction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7" i="3" l="1"/>
  <c r="F16" i="3"/>
  <c r="C9" i="3"/>
  <c r="C10" i="3"/>
  <c r="C11" i="3"/>
  <c r="C12" i="3"/>
  <c r="C8" i="3"/>
  <c r="F13" i="3"/>
  <c r="F12" i="3"/>
  <c r="L4" i="3"/>
  <c r="K5" i="3"/>
  <c r="K6" i="3"/>
  <c r="K7" i="3"/>
  <c r="K4" i="3"/>
  <c r="J4" i="3"/>
  <c r="I5" i="3"/>
  <c r="I6" i="3"/>
  <c r="I7" i="3"/>
  <c r="I4" i="3"/>
  <c r="H5" i="3"/>
  <c r="H6" i="3"/>
  <c r="H7" i="3"/>
  <c r="H4" i="3"/>
  <c r="G5" i="3"/>
  <c r="G6" i="3"/>
  <c r="G7" i="3"/>
  <c r="G4" i="3"/>
  <c r="F4" i="3"/>
  <c r="E4" i="3"/>
</calcChain>
</file>

<file path=xl/sharedStrings.xml><?xml version="1.0" encoding="utf-8"?>
<sst xmlns="http://schemas.openxmlformats.org/spreadsheetml/2006/main" count="75" uniqueCount="41">
  <si>
    <r>
      <rPr>
        <b/>
        <sz val="12"/>
        <color rgb="FF000000"/>
        <rFont val="Aptos Narrow"/>
        <scheme val="minor"/>
      </rPr>
      <t>Linear Regression</t>
    </r>
    <r>
      <rPr>
        <sz val="12"/>
        <color rgb="FF000000"/>
        <rFont val="Aptos Narrow"/>
        <scheme val="minor"/>
      </rPr>
      <t xml:space="preserve"> is a </t>
    </r>
    <r>
      <rPr>
        <b/>
        <sz val="12"/>
        <color rgb="FFBE5014"/>
        <rFont val="Aptos Narrow"/>
        <scheme val="minor"/>
      </rPr>
      <t>machine learning algorithm</t>
    </r>
    <r>
      <rPr>
        <sz val="12"/>
        <color rgb="FF000000"/>
        <rFont val="Aptos Narrow"/>
        <scheme val="minor"/>
      </rPr>
      <t xml:space="preserve"> used to </t>
    </r>
    <r>
      <rPr>
        <b/>
        <sz val="12"/>
        <color rgb="FFBE5014"/>
        <rFont val="Aptos Narrow"/>
        <scheme val="minor"/>
      </rPr>
      <t>find relationships between two variables</t>
    </r>
    <r>
      <rPr>
        <sz val="12"/>
        <color rgb="FF000000"/>
        <rFont val="Aptos Narrow"/>
        <scheme val="minor"/>
      </rPr>
      <t xml:space="preserve"> and</t>
    </r>
    <r>
      <rPr>
        <b/>
        <sz val="12"/>
        <color rgb="FF000000"/>
        <rFont val="Aptos Narrow"/>
        <scheme val="minor"/>
      </rPr>
      <t xml:space="preserve"> </t>
    </r>
    <r>
      <rPr>
        <b/>
        <sz val="12"/>
        <color rgb="FFBE5014"/>
        <rFont val="Aptos Narrow"/>
        <scheme val="minor"/>
      </rPr>
      <t>make predictions</t>
    </r>
    <r>
      <rPr>
        <sz val="12"/>
        <color rgb="FF000000"/>
        <rFont val="Aptos Narrow"/>
        <scheme val="minor"/>
      </rPr>
      <t>. 
It fits a straight line 📏 through the given data points to show the trend.</t>
    </r>
  </si>
  <si>
    <t>Y = mX + c</t>
  </si>
  <si>
    <t>Where:</t>
  </si>
  <si>
    <r>
      <t>Y</t>
    </r>
    <r>
      <rPr>
        <sz val="11"/>
        <color theme="1"/>
        <rFont val="Aptos Narrow"/>
        <family val="2"/>
        <scheme val="minor"/>
      </rPr>
      <t xml:space="preserve"> = What we want to predict (dependent variable)</t>
    </r>
  </si>
  <si>
    <r>
      <t>X</t>
    </r>
    <r>
      <rPr>
        <sz val="11"/>
        <color theme="1"/>
        <rFont val="Aptos Narrow"/>
        <family val="2"/>
        <scheme val="minor"/>
      </rPr>
      <t xml:space="preserve"> = Known value (independent variable)</t>
    </r>
  </si>
  <si>
    <r>
      <t>m</t>
    </r>
    <r>
      <rPr>
        <sz val="11"/>
        <color theme="1"/>
        <rFont val="Aptos Narrow"/>
        <family val="2"/>
        <scheme val="minor"/>
      </rPr>
      <t xml:space="preserve"> = Slope (Rate of change)</t>
    </r>
  </si>
  <si>
    <r>
      <t>c</t>
    </r>
    <r>
      <rPr>
        <sz val="11"/>
        <color theme="1"/>
        <rFont val="Aptos Narrow"/>
        <family val="2"/>
        <scheme val="minor"/>
      </rPr>
      <t xml:space="preserve"> = Intercept (where the line starts ⇒ Starting value when X = 0)</t>
    </r>
  </si>
  <si>
    <t>Calculating Slope (m) and Intercept (c)</t>
  </si>
  <si>
    <t>Manually</t>
  </si>
  <si>
    <r>
      <rPr>
        <b/>
        <sz val="11"/>
        <color theme="1"/>
        <rFont val="Aptos Narrow"/>
        <family val="2"/>
        <scheme val="minor"/>
      </rPr>
      <t>Slope (m)</t>
    </r>
    <r>
      <rPr>
        <sz val="11"/>
        <color theme="1"/>
        <rFont val="Aptos Narrow"/>
        <family val="2"/>
        <scheme val="minor"/>
      </rPr>
      <t xml:space="preserve"> = Sum of Product of Deviations / Sum of Square of deviation for X</t>
    </r>
  </si>
  <si>
    <r>
      <rPr>
        <b/>
        <sz val="11"/>
        <color theme="1"/>
        <rFont val="Aptos Narrow"/>
        <family val="2"/>
        <scheme val="minor"/>
      </rPr>
      <t>Intercept (c)</t>
    </r>
    <r>
      <rPr>
        <sz val="11"/>
        <color theme="1"/>
        <rFont val="Aptos Narrow"/>
        <family val="2"/>
        <scheme val="minor"/>
      </rPr>
      <t xml:space="preserve"> = Mean of Y - (m * Mean of X)</t>
    </r>
  </si>
  <si>
    <t>By Formula</t>
  </si>
  <si>
    <t>m = SLOPE(Ys, Xs)</t>
  </si>
  <si>
    <t>c = INTERCEPT(Ys, Xs)</t>
  </si>
  <si>
    <t>🍕</t>
  </si>
  <si>
    <t>💵</t>
  </si>
  <si>
    <t>X</t>
  </si>
  <si>
    <t>Y</t>
  </si>
  <si>
    <t>Calculation for Slope &amp; Intercept</t>
  </si>
  <si>
    <t>Pizza Size (inch)</t>
  </si>
  <si>
    <t>Price</t>
  </si>
  <si>
    <t>Estimated Price</t>
  </si>
  <si>
    <t>Mean (of X)</t>
  </si>
  <si>
    <t>Mean (of Y)</t>
  </si>
  <si>
    <t>Deviations (of X)</t>
  </si>
  <si>
    <t>Deviations (of Y)</t>
  </si>
  <si>
    <t>Product of Deviations</t>
  </si>
  <si>
    <t>Sum of Product of Deviations</t>
  </si>
  <si>
    <t>Square of Deviations (of X)</t>
  </si>
  <si>
    <t>Sum of Square of Deviations (of X)</t>
  </si>
  <si>
    <t>Slope (m) =</t>
  </si>
  <si>
    <t>Intercept (c) =</t>
  </si>
  <si>
    <t>🌡️</t>
  </si>
  <si>
    <t>🍋</t>
  </si>
  <si>
    <t>Temperature (°C)</t>
  </si>
  <si>
    <t>Lemonade Sold</t>
  </si>
  <si>
    <t>Estimated Lemonade Sold</t>
  </si>
  <si>
    <t>🏠</t>
  </si>
  <si>
    <t>House Size (sq. ft.)</t>
  </si>
  <si>
    <t>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</si>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</sst>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.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864D00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  <font>
      <b/>
      <sz val="20"/>
      <name val="Courier New"/>
      <family val="3"/>
    </font>
    <font>
      <sz val="2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rgb="FFBE5014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5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3" xfId="0" applyBorder="1"/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0" fillId="0" borderId="11" xfId="0" applyNumberForma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107E-77C4-4964-9868-836DABB3D59D}">
  <dimension ref="A1:B22"/>
  <sheetViews>
    <sheetView topLeftCell="B7" zoomScale="130" zoomScaleNormal="130" workbookViewId="0">
      <selection activeCell="B16" sqref="B16"/>
    </sheetView>
  </sheetViews>
  <sheetFormatPr defaultColWidth="9.125" defaultRowHeight="14.25"/>
  <cols>
    <col min="1" max="1" width="10.875" style="1" bestFit="1" customWidth="1"/>
    <col min="2" max="2" width="67.875" style="1" bestFit="1" customWidth="1"/>
    <col min="3" max="16384" width="9.125" style="1"/>
  </cols>
  <sheetData>
    <row r="1" spans="1:2" ht="15" thickBot="1">
      <c r="B1" s="14"/>
    </row>
    <row r="2" spans="1:2" ht="80.25" customHeight="1" thickTop="1">
      <c r="B2" t="s">
        <v>0</v>
      </c>
    </row>
    <row r="3" spans="1:2" ht="37.5" customHeight="1" thickBot="1"/>
    <row r="4" spans="1:2" ht="27">
      <c r="B4" s="22" t="s">
        <v>1</v>
      </c>
    </row>
    <row r="5" spans="1:2">
      <c r="B5" s="6"/>
    </row>
    <row r="6" spans="1:2">
      <c r="B6" s="7" t="s">
        <v>2</v>
      </c>
    </row>
    <row r="7" spans="1:2">
      <c r="B7" s="8"/>
    </row>
    <row r="8" spans="1:2" ht="15">
      <c r="B8" s="9" t="s">
        <v>3</v>
      </c>
    </row>
    <row r="9" spans="1:2" ht="15">
      <c r="B9" s="9" t="s">
        <v>4</v>
      </c>
    </row>
    <row r="10" spans="1:2" ht="15">
      <c r="B10" s="9" t="s">
        <v>5</v>
      </c>
    </row>
    <row r="11" spans="1:2" ht="15.75" thickBot="1">
      <c r="B11" s="10" t="s">
        <v>6</v>
      </c>
    </row>
    <row r="12" spans="1:2" ht="15">
      <c r="B12" s="15"/>
    </row>
    <row r="13" spans="1:2" ht="15">
      <c r="B13" s="15"/>
    </row>
    <row r="15" spans="1:2" ht="15">
      <c r="A15" s="3"/>
      <c r="B15" s="20" t="s">
        <v>7</v>
      </c>
    </row>
    <row r="16" spans="1:2" ht="15">
      <c r="A16" s="29" t="s">
        <v>8</v>
      </c>
      <c r="B16" s="21" t="s">
        <v>9</v>
      </c>
    </row>
    <row r="17" spans="1:2" ht="15">
      <c r="A17" s="29"/>
      <c r="B17" s="21" t="s">
        <v>10</v>
      </c>
    </row>
    <row r="18" spans="1:2">
      <c r="A18" s="3"/>
      <c r="B18" s="21"/>
    </row>
    <row r="19" spans="1:2">
      <c r="A19" s="29" t="s">
        <v>11</v>
      </c>
      <c r="B19" s="21" t="s">
        <v>12</v>
      </c>
    </row>
    <row r="20" spans="1:2">
      <c r="A20" s="29"/>
      <c r="B20" s="21" t="s">
        <v>13</v>
      </c>
    </row>
    <row r="21" spans="1:2">
      <c r="B21" s="5"/>
    </row>
    <row r="22" spans="1:2">
      <c r="B22" s="5"/>
    </row>
  </sheetData>
  <mergeCells count="2">
    <mergeCell ref="A16:A17"/>
    <mergeCell ref="A19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D941-A439-4368-BF6F-884C4441C0A2}">
  <dimension ref="A1:S39"/>
  <sheetViews>
    <sheetView tabSelected="1" zoomScale="190" zoomScaleNormal="190" workbookViewId="0">
      <selection activeCell="F18" sqref="F18"/>
    </sheetView>
  </sheetViews>
  <sheetFormatPr defaultColWidth="9.125" defaultRowHeight="14.25"/>
  <cols>
    <col min="1" max="1" width="15.375" style="1" bestFit="1" customWidth="1"/>
    <col min="2" max="2" width="12.125" style="1" customWidth="1"/>
    <col min="3" max="3" width="13.75" style="1" customWidth="1"/>
    <col min="4" max="4" width="9.125" style="1"/>
    <col min="5" max="5" width="13.75" style="1" bestFit="1" customWidth="1"/>
    <col min="6" max="6" width="18" style="1" bestFit="1" customWidth="1"/>
    <col min="7" max="7" width="10.875" style="1" customWidth="1"/>
    <col min="8" max="8" width="11.375" style="1" customWidth="1"/>
    <col min="9" max="9" width="13.375" style="1" bestFit="1" customWidth="1"/>
    <col min="10" max="10" width="18" style="1" bestFit="1" customWidth="1"/>
    <col min="11" max="11" width="18.625" style="1" bestFit="1" customWidth="1"/>
    <col min="12" max="12" width="15.25" style="1" bestFit="1" customWidth="1"/>
    <col min="13" max="13" width="13" style="1" bestFit="1" customWidth="1"/>
    <col min="14" max="14" width="12.625" style="1" bestFit="1" customWidth="1"/>
    <col min="15" max="15" width="12" style="1" bestFit="1" customWidth="1"/>
    <col min="16" max="16" width="12.75" style="1" bestFit="1" customWidth="1"/>
    <col min="17" max="19" width="12.625" style="1" bestFit="1" customWidth="1"/>
    <col min="20" max="16384" width="9.125" style="1"/>
  </cols>
  <sheetData>
    <row r="1" spans="1:12" ht="42" customHeight="1">
      <c r="A1" s="23" t="s">
        <v>14</v>
      </c>
      <c r="B1" s="23" t="s">
        <v>15</v>
      </c>
      <c r="C1" s="24" t="s">
        <v>1</v>
      </c>
      <c r="E1" s="30"/>
      <c r="F1" s="30"/>
      <c r="G1" s="30"/>
      <c r="H1" s="30"/>
      <c r="I1" s="30"/>
      <c r="J1" s="30"/>
      <c r="K1" s="30"/>
      <c r="L1" s="30"/>
    </row>
    <row r="2" spans="1:12" ht="15">
      <c r="A2" s="4" t="s">
        <v>16</v>
      </c>
      <c r="B2" s="4" t="s">
        <v>17</v>
      </c>
      <c r="C2" s="3"/>
      <c r="E2" s="32" t="s">
        <v>18</v>
      </c>
      <c r="F2" s="32"/>
      <c r="G2" s="32"/>
      <c r="H2" s="32"/>
      <c r="I2" s="32"/>
      <c r="J2" s="32"/>
      <c r="K2" s="32"/>
      <c r="L2" s="32"/>
    </row>
    <row r="3" spans="1:12" s="11" customFormat="1" ht="45">
      <c r="A3" s="4" t="s">
        <v>19</v>
      </c>
      <c r="B3" s="4" t="s">
        <v>20</v>
      </c>
      <c r="C3" s="17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</row>
    <row r="4" spans="1:12">
      <c r="A4" s="2">
        <v>8</v>
      </c>
      <c r="B4" s="16">
        <v>280</v>
      </c>
      <c r="C4" s="18"/>
      <c r="E4" s="33">
        <f>AVERAGE(A4:A7)</f>
        <v>11.25</v>
      </c>
      <c r="F4" s="36">
        <f>AVERAGE(B4:B7)</f>
        <v>651.25</v>
      </c>
      <c r="G4" s="3">
        <f>A4-$E$4</f>
        <v>-3.25</v>
      </c>
      <c r="H4" s="12">
        <f>B4-$F$4</f>
        <v>-371.25</v>
      </c>
      <c r="I4" s="12">
        <f>G4*H4</f>
        <v>1206.5625</v>
      </c>
      <c r="J4" s="36">
        <f>SUM(I4:I7)</f>
        <v>3533.75</v>
      </c>
      <c r="K4" s="3">
        <f>G4*G4</f>
        <v>10.5625</v>
      </c>
      <c r="L4" s="33">
        <f>SUM(K4:K7)</f>
        <v>26.75</v>
      </c>
    </row>
    <row r="5" spans="1:12">
      <c r="A5" s="2">
        <v>10</v>
      </c>
      <c r="B5" s="16">
        <v>450</v>
      </c>
      <c r="C5" s="18"/>
      <c r="E5" s="34"/>
      <c r="F5" s="34"/>
      <c r="G5" s="3">
        <f t="shared" ref="G5:G7" si="0">A5-$E$4</f>
        <v>-1.25</v>
      </c>
      <c r="H5" s="12">
        <f t="shared" ref="H5:H7" si="1">B5-$F$4</f>
        <v>-201.25</v>
      </c>
      <c r="I5" s="12">
        <f t="shared" ref="I5:I7" si="2">G5*H5</f>
        <v>251.5625</v>
      </c>
      <c r="J5" s="34"/>
      <c r="K5" s="3">
        <f t="shared" ref="K5:K7" si="3">G5*G5</f>
        <v>1.5625</v>
      </c>
      <c r="L5" s="34"/>
    </row>
    <row r="6" spans="1:12">
      <c r="A6" s="2">
        <v>12</v>
      </c>
      <c r="B6" s="16">
        <v>675</v>
      </c>
      <c r="C6" s="18"/>
      <c r="E6" s="34"/>
      <c r="F6" s="34"/>
      <c r="G6" s="3">
        <f t="shared" si="0"/>
        <v>0.75</v>
      </c>
      <c r="H6" s="12">
        <f t="shared" si="1"/>
        <v>23.75</v>
      </c>
      <c r="I6" s="12">
        <f t="shared" si="2"/>
        <v>17.8125</v>
      </c>
      <c r="J6" s="34"/>
      <c r="K6" s="3">
        <f t="shared" si="3"/>
        <v>0.5625</v>
      </c>
      <c r="L6" s="34"/>
    </row>
    <row r="7" spans="1:12">
      <c r="A7" s="2">
        <v>15</v>
      </c>
      <c r="B7" s="16">
        <v>1200</v>
      </c>
      <c r="C7" s="18"/>
      <c r="E7" s="35"/>
      <c r="F7" s="35"/>
      <c r="G7" s="3">
        <f t="shared" si="0"/>
        <v>3.75</v>
      </c>
      <c r="H7" s="12">
        <f t="shared" si="1"/>
        <v>548.75</v>
      </c>
      <c r="I7" s="12">
        <f t="shared" si="2"/>
        <v>2057.8125</v>
      </c>
      <c r="J7" s="35"/>
      <c r="K7" s="3">
        <f t="shared" si="3"/>
        <v>14.0625</v>
      </c>
      <c r="L7" s="35"/>
    </row>
    <row r="8" spans="1:12">
      <c r="A8" s="3">
        <v>17</v>
      </c>
      <c r="B8" s="26"/>
      <c r="C8" s="18">
        <f>$F$12*A8+$F$13</f>
        <v>1410.8411214953269</v>
      </c>
    </row>
    <row r="9" spans="1:12" ht="15">
      <c r="A9" s="3">
        <v>18</v>
      </c>
      <c r="B9" s="26"/>
      <c r="C9" s="18">
        <f t="shared" ref="C9:C12" si="4">$F$12*A9+$F$13</f>
        <v>1542.9439252336449</v>
      </c>
      <c r="E9" s="31" t="s">
        <v>9</v>
      </c>
      <c r="F9" s="31"/>
      <c r="G9" s="31"/>
      <c r="H9" s="31"/>
      <c r="I9" s="31"/>
      <c r="J9" s="31"/>
      <c r="K9" s="13"/>
    </row>
    <row r="10" spans="1:12" ht="15">
      <c r="A10" s="3">
        <v>20</v>
      </c>
      <c r="B10" s="26"/>
      <c r="C10" s="18">
        <f t="shared" si="4"/>
        <v>1807.1495327102805</v>
      </c>
      <c r="E10" s="31" t="s">
        <v>10</v>
      </c>
      <c r="F10" s="31"/>
      <c r="G10" s="31"/>
      <c r="H10" s="31"/>
      <c r="I10" s="31"/>
      <c r="J10" s="31"/>
      <c r="K10" s="13"/>
    </row>
    <row r="11" spans="1:12">
      <c r="A11" s="3">
        <v>22</v>
      </c>
      <c r="B11" s="26"/>
      <c r="C11" s="18">
        <f t="shared" si="4"/>
        <v>2071.3551401869163</v>
      </c>
    </row>
    <row r="12" spans="1:12">
      <c r="A12" s="3">
        <v>26</v>
      </c>
      <c r="B12" s="26"/>
      <c r="C12" s="18">
        <f t="shared" si="4"/>
        <v>2599.7663551401865</v>
      </c>
      <c r="E12" s="3" t="s">
        <v>39</v>
      </c>
      <c r="F12" s="12">
        <f>J4/L4</f>
        <v>132.10280373831776</v>
      </c>
    </row>
    <row r="13" spans="1:12" ht="15">
      <c r="E13" s="20" t="s">
        <v>40</v>
      </c>
      <c r="F13" s="28">
        <f>F4-F12*E4</f>
        <v>-834.90654205607484</v>
      </c>
    </row>
    <row r="16" spans="1:12" ht="15">
      <c r="E16" s="20" t="s">
        <v>30</v>
      </c>
      <c r="F16" s="12">
        <f>SLOPE(B4:B7,A4:A7)</f>
        <v>132.10280373831776</v>
      </c>
      <c r="H16"/>
      <c r="I16"/>
      <c r="J16"/>
      <c r="K16"/>
    </row>
    <row r="17" spans="3:19" ht="15">
      <c r="C17"/>
      <c r="D17"/>
      <c r="E17" s="20" t="s">
        <v>31</v>
      </c>
      <c r="F17" s="12">
        <f>INTERCEPT(B4:B7,A4:A7)</f>
        <v>-834.90654205607484</v>
      </c>
      <c r="G17"/>
      <c r="H17"/>
      <c r="I17"/>
      <c r="J17"/>
      <c r="K17"/>
      <c r="L17"/>
    </row>
    <row r="18" spans="3:19">
      <c r="C18"/>
      <c r="D18"/>
      <c r="E18"/>
      <c r="F18"/>
      <c r="G18"/>
      <c r="H18"/>
      <c r="I18"/>
      <c r="J18"/>
      <c r="K18"/>
      <c r="L18"/>
    </row>
    <row r="19" spans="3:19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3:19"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3:19"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3:19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3:19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3:19"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3:19"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3:19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3:19"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3:19"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3:19"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3:19"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3:19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3:19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3:19"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3:19"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3:19"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3:19"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3:19"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3:19"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3:19">
      <c r="K39"/>
      <c r="L39"/>
      <c r="M39"/>
      <c r="N39"/>
      <c r="O39"/>
      <c r="P39"/>
      <c r="Q39"/>
      <c r="R39"/>
      <c r="S39"/>
    </row>
  </sheetData>
  <mergeCells count="8">
    <mergeCell ref="E1:L1"/>
    <mergeCell ref="E9:J9"/>
    <mergeCell ref="E10:J10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AA26-B4D9-4C1D-9CC2-9236F00034BD}">
  <dimension ref="A1:L13"/>
  <sheetViews>
    <sheetView zoomScale="145" zoomScaleNormal="145" workbookViewId="0">
      <selection activeCell="C3" sqref="C3:C10"/>
    </sheetView>
  </sheetViews>
  <sheetFormatPr defaultColWidth="9.125" defaultRowHeight="14.25"/>
  <cols>
    <col min="1" max="1" width="18.625" style="1" customWidth="1"/>
    <col min="2" max="2" width="14.875" style="1" bestFit="1" customWidth="1"/>
    <col min="3" max="3" width="15.25" style="1" customWidth="1"/>
    <col min="4" max="4" width="9.125" style="1"/>
    <col min="5" max="5" width="13.75" style="1" bestFit="1" customWidth="1"/>
    <col min="6" max="6" width="12.25" style="1" customWidth="1"/>
    <col min="7" max="7" width="11.125" style="1" customWidth="1"/>
    <col min="8" max="8" width="11" style="1" customWidth="1"/>
    <col min="9" max="9" width="11.625" style="1" customWidth="1"/>
    <col min="10" max="10" width="11.25" style="1" customWidth="1"/>
    <col min="11" max="11" width="12.125" style="1" customWidth="1"/>
    <col min="12" max="12" width="14.875" style="1" customWidth="1"/>
    <col min="13" max="16384" width="9.125" style="1"/>
  </cols>
  <sheetData>
    <row r="1" spans="1:12" ht="47.25" customHeight="1">
      <c r="A1" s="23" t="s">
        <v>32</v>
      </c>
      <c r="B1" s="23" t="s">
        <v>33</v>
      </c>
      <c r="C1" s="24" t="s">
        <v>1</v>
      </c>
      <c r="E1" s="30"/>
      <c r="F1" s="30"/>
      <c r="G1" s="30"/>
      <c r="H1" s="30"/>
      <c r="I1" s="30"/>
      <c r="J1" s="30"/>
      <c r="K1" s="30"/>
      <c r="L1" s="30"/>
    </row>
    <row r="2" spans="1:12" ht="30">
      <c r="A2" s="4" t="s">
        <v>34</v>
      </c>
      <c r="B2" s="4" t="s">
        <v>35</v>
      </c>
      <c r="C2" s="4" t="s">
        <v>36</v>
      </c>
      <c r="E2" s="32" t="s">
        <v>18</v>
      </c>
      <c r="F2" s="32"/>
      <c r="G2" s="32"/>
      <c r="H2" s="32"/>
      <c r="I2" s="32"/>
      <c r="J2" s="32"/>
      <c r="K2" s="32"/>
      <c r="L2" s="32"/>
    </row>
    <row r="3" spans="1:12" ht="45">
      <c r="A3" s="2">
        <v>25</v>
      </c>
      <c r="B3" s="2">
        <v>50</v>
      </c>
      <c r="C3" s="2"/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</row>
    <row r="4" spans="1:12">
      <c r="A4" s="2">
        <v>30</v>
      </c>
      <c r="B4" s="2">
        <v>70</v>
      </c>
      <c r="C4" s="2"/>
      <c r="E4" s="33"/>
      <c r="F4" s="37"/>
      <c r="G4" s="3"/>
      <c r="H4" s="19"/>
      <c r="I4" s="19"/>
      <c r="J4" s="37"/>
      <c r="K4" s="3"/>
      <c r="L4" s="33"/>
    </row>
    <row r="5" spans="1:12">
      <c r="A5" s="2">
        <v>35</v>
      </c>
      <c r="B5" s="2">
        <v>90</v>
      </c>
      <c r="C5" s="2"/>
      <c r="E5" s="34"/>
      <c r="F5" s="38"/>
      <c r="G5" s="3"/>
      <c r="H5" s="19"/>
      <c r="I5" s="19"/>
      <c r="J5" s="38"/>
      <c r="K5" s="3"/>
      <c r="L5" s="34"/>
    </row>
    <row r="6" spans="1:12">
      <c r="A6" s="2">
        <v>40</v>
      </c>
      <c r="B6" s="2">
        <v>110</v>
      </c>
      <c r="C6" s="2"/>
      <c r="E6" s="34"/>
      <c r="F6" s="38"/>
      <c r="G6" s="3"/>
      <c r="H6" s="19"/>
      <c r="I6" s="19"/>
      <c r="J6" s="38"/>
      <c r="K6" s="3"/>
      <c r="L6" s="34"/>
    </row>
    <row r="7" spans="1:12">
      <c r="A7" s="3">
        <v>42</v>
      </c>
      <c r="B7" s="27">
        <v>118</v>
      </c>
      <c r="C7" s="2"/>
      <c r="E7" s="35"/>
      <c r="F7" s="39"/>
      <c r="G7" s="3"/>
      <c r="H7" s="19"/>
      <c r="I7" s="19"/>
      <c r="J7" s="39"/>
      <c r="K7" s="3"/>
      <c r="L7" s="35"/>
    </row>
    <row r="8" spans="1:12">
      <c r="A8" s="3">
        <v>44</v>
      </c>
      <c r="B8" s="27">
        <v>126</v>
      </c>
      <c r="C8" s="2"/>
    </row>
    <row r="9" spans="1:12" ht="15">
      <c r="A9" s="3">
        <v>45</v>
      </c>
      <c r="B9" s="27">
        <v>130</v>
      </c>
      <c r="C9" s="2"/>
      <c r="E9" s="31" t="s">
        <v>9</v>
      </c>
      <c r="F9" s="31"/>
      <c r="G9" s="31"/>
      <c r="H9" s="31"/>
      <c r="I9" s="31"/>
      <c r="J9" s="31"/>
      <c r="K9" s="13"/>
    </row>
    <row r="10" spans="1:12" ht="15">
      <c r="A10" s="3">
        <v>47</v>
      </c>
      <c r="B10" s="27">
        <v>138</v>
      </c>
      <c r="C10" s="2"/>
      <c r="E10" s="31" t="s">
        <v>10</v>
      </c>
      <c r="F10" s="31"/>
      <c r="G10" s="31"/>
      <c r="H10" s="31"/>
      <c r="I10" s="31"/>
      <c r="J10" s="31"/>
      <c r="K10" s="13"/>
    </row>
    <row r="12" spans="1:12" ht="15">
      <c r="E12" s="20" t="s">
        <v>30</v>
      </c>
      <c r="F12" s="19"/>
    </row>
    <row r="13" spans="1:12" ht="15">
      <c r="E13" s="20" t="s">
        <v>31</v>
      </c>
      <c r="F13" s="19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4AF4-EE69-47FE-BD37-807D0CDE2794}">
  <dimension ref="A1:L13"/>
  <sheetViews>
    <sheetView zoomScale="130" zoomScaleNormal="130" workbookViewId="0">
      <selection activeCell="D15" sqref="D15"/>
    </sheetView>
  </sheetViews>
  <sheetFormatPr defaultColWidth="9.125" defaultRowHeight="14.25"/>
  <cols>
    <col min="1" max="1" width="18.625" style="1" customWidth="1"/>
    <col min="2" max="2" width="15.25" style="1" customWidth="1"/>
    <col min="3" max="3" width="19.625" style="1" customWidth="1"/>
    <col min="4" max="4" width="9.125" style="1"/>
    <col min="5" max="5" width="13.75" style="1" bestFit="1" customWidth="1"/>
    <col min="6" max="6" width="14.125" style="1" bestFit="1" customWidth="1"/>
    <col min="7" max="7" width="11.125" style="1" customWidth="1"/>
    <col min="8" max="8" width="12.625" style="1" bestFit="1" customWidth="1"/>
    <col min="9" max="9" width="17" style="1" bestFit="1" customWidth="1"/>
    <col min="10" max="10" width="18.625" style="1" bestFit="1" customWidth="1"/>
    <col min="11" max="11" width="12.125" style="1" customWidth="1"/>
    <col min="12" max="12" width="14.875" style="1" customWidth="1"/>
    <col min="13" max="16384" width="9.125" style="1"/>
  </cols>
  <sheetData>
    <row r="1" spans="1:12" ht="42" customHeight="1">
      <c r="A1" s="23" t="s">
        <v>37</v>
      </c>
      <c r="B1" s="23" t="s">
        <v>15</v>
      </c>
      <c r="C1" s="24" t="s">
        <v>1</v>
      </c>
      <c r="E1" s="30"/>
      <c r="F1" s="30"/>
      <c r="G1" s="30"/>
      <c r="H1" s="30"/>
      <c r="I1" s="30"/>
      <c r="J1" s="30"/>
      <c r="K1" s="30"/>
      <c r="L1" s="30"/>
    </row>
    <row r="2" spans="1:12" ht="15">
      <c r="A2" s="4" t="s">
        <v>38</v>
      </c>
      <c r="B2" s="4" t="s">
        <v>20</v>
      </c>
      <c r="C2" s="17" t="s">
        <v>21</v>
      </c>
      <c r="E2" s="32" t="s">
        <v>18</v>
      </c>
      <c r="F2" s="32"/>
      <c r="G2" s="32"/>
      <c r="H2" s="32"/>
      <c r="I2" s="32"/>
      <c r="J2" s="32"/>
      <c r="K2" s="32"/>
      <c r="L2" s="32"/>
    </row>
    <row r="3" spans="1:12" ht="45">
      <c r="A3" s="2">
        <v>1000</v>
      </c>
      <c r="B3" s="16">
        <v>2000000</v>
      </c>
      <c r="C3" s="18"/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</row>
    <row r="4" spans="1:12">
      <c r="A4" s="2">
        <v>1500</v>
      </c>
      <c r="B4" s="16">
        <v>2500000</v>
      </c>
      <c r="C4" s="18"/>
      <c r="E4" s="33"/>
      <c r="F4" s="36"/>
      <c r="G4" s="3"/>
      <c r="H4" s="25"/>
      <c r="I4" s="12"/>
      <c r="J4" s="36"/>
      <c r="K4" s="3"/>
      <c r="L4" s="33"/>
    </row>
    <row r="5" spans="1:12">
      <c r="A5" s="2">
        <v>2000</v>
      </c>
      <c r="B5" s="16">
        <v>3000000</v>
      </c>
      <c r="C5" s="18"/>
      <c r="E5" s="34"/>
      <c r="F5" s="34"/>
      <c r="G5" s="3"/>
      <c r="H5" s="25"/>
      <c r="I5" s="12"/>
      <c r="J5" s="34"/>
      <c r="K5" s="3"/>
      <c r="L5" s="34"/>
    </row>
    <row r="6" spans="1:12">
      <c r="A6" s="2">
        <v>2500</v>
      </c>
      <c r="B6" s="16">
        <v>3500000</v>
      </c>
      <c r="C6" s="18"/>
      <c r="E6" s="34"/>
      <c r="F6" s="34"/>
      <c r="G6" s="3"/>
      <c r="H6" s="25"/>
      <c r="I6" s="12"/>
      <c r="J6" s="34"/>
      <c r="K6" s="3"/>
      <c r="L6" s="34"/>
    </row>
    <row r="7" spans="1:12">
      <c r="A7" s="3">
        <v>2800</v>
      </c>
      <c r="B7" s="26">
        <v>3800000</v>
      </c>
      <c r="C7" s="18"/>
      <c r="E7" s="35"/>
      <c r="F7" s="35"/>
      <c r="G7" s="3"/>
      <c r="H7" s="25"/>
      <c r="I7" s="12"/>
      <c r="J7" s="35"/>
      <c r="K7" s="3"/>
      <c r="L7" s="35"/>
    </row>
    <row r="8" spans="1:12">
      <c r="A8" s="3">
        <v>3000</v>
      </c>
      <c r="B8" s="26">
        <v>4000000</v>
      </c>
      <c r="C8" s="18"/>
    </row>
    <row r="9" spans="1:12" ht="15">
      <c r="A9" s="3">
        <v>3250</v>
      </c>
      <c r="B9" s="26">
        <v>4250000</v>
      </c>
      <c r="C9" s="18"/>
      <c r="E9" s="31" t="s">
        <v>9</v>
      </c>
      <c r="F9" s="31"/>
      <c r="G9" s="31"/>
      <c r="H9" s="31"/>
      <c r="I9" s="31"/>
      <c r="J9" s="31"/>
      <c r="K9" s="13"/>
    </row>
    <row r="10" spans="1:12" ht="15">
      <c r="A10" s="3">
        <v>3500</v>
      </c>
      <c r="B10" s="26">
        <v>4500000</v>
      </c>
      <c r="C10" s="18"/>
      <c r="E10" s="31" t="s">
        <v>10</v>
      </c>
      <c r="F10" s="31"/>
      <c r="G10" s="31"/>
      <c r="H10" s="31"/>
      <c r="I10" s="31"/>
      <c r="J10" s="31"/>
      <c r="K10" s="13"/>
    </row>
    <row r="12" spans="1:12" ht="15">
      <c r="E12" s="20" t="s">
        <v>30</v>
      </c>
      <c r="F12" s="12"/>
    </row>
    <row r="13" spans="1:12" ht="15">
      <c r="E13" s="20" t="s">
        <v>31</v>
      </c>
      <c r="F13" s="12"/>
    </row>
  </sheetData>
  <mergeCells count="8">
    <mergeCell ref="E9:J9"/>
    <mergeCell ref="E10:J10"/>
    <mergeCell ref="E1:L1"/>
    <mergeCell ref="E2:L2"/>
    <mergeCell ref="E4:E7"/>
    <mergeCell ref="F4:F7"/>
    <mergeCell ref="J4:J7"/>
    <mergeCell ref="L4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Theory</vt:lpstr>
      <vt:lpstr>Pizza Price Prediction</vt:lpstr>
      <vt:lpstr>Lemonade Sold Prediction</vt:lpstr>
      <vt:lpstr>House Price Prediction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Milan Kathiriya</dc:creator>
  <cp:keywords/>
  <dc:description/>
  <cp:lastModifiedBy>Jitender  [Online Student]</cp:lastModifiedBy>
  <cp:revision/>
  <dcterms:created xsi:type="dcterms:W3CDTF">2025-04-01T08:45:21Z</dcterms:created>
  <dcterms:modified xsi:type="dcterms:W3CDTF">2026-06-22T11:04:43Z</dcterms:modified>
  <cp:category/>
  <cp:contentStatus/>
</cp:coreProperties>
</file>