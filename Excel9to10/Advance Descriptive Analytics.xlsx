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AC7C9A7F-3D09-4D61-A028-9566696ACC1D}" xr6:coauthVersionLast="47" xr6:coauthVersionMax="47" xr10:uidLastSave="{00000000-0000-0000-0000-000000000000}"/>
  <bookViews>
    <workbookView xWindow="-108" yWindow="-108" windowWidth="23256" windowHeight="12456" xr2:uid="{9EBBF17A-A1CB-4F22-9D4F-1F4F44E8488B}"/>
  </bookViews>
  <sheets>
    <sheet name="Excel Basement - ANALYTICS" sheetId="1" r:id="rId1"/>
  </sheets>
  <definedNames>
    <definedName name="_xlnm._FilterDatabase" localSheetId="0" hidden="1">'Excel Basement - ANALYTICS'!#REF!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I17" i="1" s="1"/>
  <c r="H105" i="1" a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J47" i="1"/>
  <c r="I47" i="1" s="1"/>
  <c r="J48" i="1"/>
  <c r="I48" i="1" s="1"/>
  <c r="J49" i="1"/>
  <c r="I49" i="1" s="1"/>
  <c r="J50" i="1"/>
  <c r="I50" i="1" s="1"/>
  <c r="J51" i="1"/>
  <c r="I51" i="1" s="1"/>
  <c r="J52" i="1"/>
  <c r="I52" i="1" s="1"/>
  <c r="J53" i="1"/>
  <c r="I53" i="1" s="1"/>
  <c r="J54" i="1"/>
  <c r="I54" i="1" s="1"/>
  <c r="J55" i="1"/>
  <c r="I55" i="1" s="1"/>
  <c r="J46" i="1"/>
  <c r="I46" i="1" s="1"/>
  <c r="J32" i="1"/>
  <c r="I32" i="1" s="1"/>
  <c r="J33" i="1"/>
  <c r="I33" i="1" s="1"/>
  <c r="J34" i="1"/>
  <c r="I34" i="1" s="1"/>
  <c r="J35" i="1"/>
  <c r="I35" i="1" s="1"/>
  <c r="J36" i="1"/>
  <c r="I36" i="1" s="1"/>
  <c r="J37" i="1"/>
  <c r="I37" i="1" s="1"/>
  <c r="J38" i="1"/>
  <c r="I38" i="1" s="1"/>
  <c r="J39" i="1"/>
  <c r="I39" i="1" s="1"/>
  <c r="J40" i="1"/>
  <c r="I40" i="1" s="1"/>
  <c r="J31" i="1"/>
  <c r="I31" i="1" s="1"/>
  <c r="J18" i="1"/>
  <c r="I18" i="1" s="1"/>
  <c r="J19" i="1"/>
  <c r="I19" i="1" s="1"/>
  <c r="J20" i="1"/>
  <c r="I20" i="1" s="1"/>
  <c r="J21" i="1"/>
  <c r="I21" i="1" s="1"/>
  <c r="J22" i="1"/>
  <c r="I22" i="1" s="1"/>
  <c r="J23" i="1"/>
  <c r="I23" i="1" s="1"/>
  <c r="J24" i="1"/>
  <c r="I24" i="1" s="1"/>
  <c r="J25" i="1"/>
  <c r="I25" i="1" s="1"/>
  <c r="J26" i="1"/>
  <c r="I26" i="1" s="1"/>
  <c r="H105" i="1" l="1"/>
  <c r="J76" i="1"/>
  <c r="H76" i="1" a="1"/>
  <c r="H7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<sst xmlns="http://schemas.openxmlformats.org/spreadsheetml/2006/main" count="384" uniqueCount="209">
  <si>
    <t>Emp No</t>
  </si>
  <si>
    <t>Emp Name</t>
  </si>
  <si>
    <t>Function</t>
  </si>
  <si>
    <t>Date of Birth</t>
  </si>
  <si>
    <t>Date of Admission</t>
  </si>
  <si>
    <t>10 Eldest Members (Date of Birth)</t>
  </si>
  <si>
    <t>10 Youngest Members (Date of Birth)</t>
  </si>
  <si>
    <t>Birthday in this month</t>
  </si>
  <si>
    <t>Anniversary in This month</t>
  </si>
  <si>
    <t>DATA</t>
  </si>
  <si>
    <t>Sales</t>
  </si>
  <si>
    <t>Admin Offices</t>
  </si>
  <si>
    <t>Human Recources</t>
  </si>
  <si>
    <t>IT</t>
  </si>
  <si>
    <t>Finance</t>
  </si>
  <si>
    <t>Audit</t>
  </si>
  <si>
    <t>Retail</t>
  </si>
  <si>
    <t>Treasury</t>
  </si>
  <si>
    <t>Aaron Bergman</t>
  </si>
  <si>
    <t>Aaron Hawkins</t>
  </si>
  <si>
    <t>Aaron Smayling</t>
  </si>
  <si>
    <t>Adam Bellavance</t>
  </si>
  <si>
    <t>Adam Hart</t>
  </si>
  <si>
    <t>Adam Shillingsburg</t>
  </si>
  <si>
    <t>Adrian Barton</t>
  </si>
  <si>
    <t>David Philippe</t>
  </si>
  <si>
    <t>David Smith</t>
  </si>
  <si>
    <t>David Wiener</t>
  </si>
  <si>
    <t>Dean Braden</t>
  </si>
  <si>
    <t>Dean Katz</t>
  </si>
  <si>
    <t>Dianna Vittorini</t>
  </si>
  <si>
    <t>Dianna Wilson</t>
  </si>
  <si>
    <t>Dionis Lloyd</t>
  </si>
  <si>
    <t>Henry MacAllister</t>
  </si>
  <si>
    <t>Herbert Flentye</t>
  </si>
  <si>
    <t>Hilary Holden</t>
  </si>
  <si>
    <t>Hunter Glantz</t>
  </si>
  <si>
    <t>Irene Maddox</t>
  </si>
  <si>
    <t>Ivan Gibson</t>
  </si>
  <si>
    <t>Ivan Liston</t>
  </si>
  <si>
    <t>Jack Garza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</si>
  <si>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</si>
  <si>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</si>
  <si>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</si>
  <si>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</si>
  <si>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</si>
  <si>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</si>
  <si>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</si>
  <si>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</si>
  <si>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</si>
  <si>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</si>
  <si>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</t>
  </si>
  <si>
    <t>Jason Gross</t>
  </si>
  <si>
    <t>Jason Klamczynski</t>
  </si>
  <si>
    <t>Jasper Cacioppo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</si>
  <si>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</si>
  <si>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</si>
  <si>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</si>
  <si>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</si>
  <si>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</si>
  <si>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</si>
  <si>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</si>
  <si>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</si>
  <si>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</si>
  <si>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</si>
  <si>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Grace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</si>
  <si>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</si>
  <si>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</si>
  <si>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</si>
  <si>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</si>
  <si>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</si>
  <si>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</si>
  <si>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</si>
  <si>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</si>
  <si>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Page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</si>
  <si>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</si>
  <si>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</si>
  <si>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</si>
  <si>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</si>
  <si>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</si>
  <si>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</si>
  <si>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</si>
  <si>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</si>
  <si>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</si>
  <si>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</si>
  <si>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</si>
  <si>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</si>
  <si>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</si>
  <si>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</si>
  <si>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</si>
  <si>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</si>
  <si>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</si>
  <si>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</si>
  <si>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</si>
  <si>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</si>
  <si>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</si>
  <si>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</si>
  <si>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</si>
  <si>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</si>
  <si>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</si>
  <si>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</si>
  <si>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</si>
  <si>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</si>
  <si>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</si>
  <si>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</si>
  <si>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</si>
  <si>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</si>
  <si>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</si>
  <si>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</si>
  <si>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</si>
  <si>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</si>
  <si>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</si>
  <si>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</si>
  <si>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</si>
  <si>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</si>
  <si>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</si>
  <si>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</si>
  <si>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French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</si>
  <si>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</si>
  <si>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</si>
  <si>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</si>
  <si>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</si>
  <si>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</si>
  <si>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</si>
  <si>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</si>
  <si>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</si>
  <si>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Rachel Payne</t>
  </si>
  <si>
    <t>Ralph Arnett</t>
  </si>
  <si>
    <t>Ralph Kennedy</t>
  </si>
  <si>
    <t>Ralph Knight</t>
  </si>
  <si>
    <t>Randy Bradley</t>
  </si>
  <si>
    <t>Randy Ferguson</t>
  </si>
  <si>
    <t>Raymond Book</t>
  </si>
  <si>
    <t>Raymond Fair</t>
  </si>
  <si>
    <t>Resi Polking</t>
  </si>
  <si>
    <t>Ricardo Block</t>
  </si>
  <si>
    <t>Ricardo Emerson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</si>
  <si>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</si>
  <si>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</si>
  <si>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</si>
  <si>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</si>
  <si>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</si>
  <si>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</si>
  <si>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</si>
  <si>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</si>
  <si>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</si>
  <si>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</si>
  <si>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</si>
  <si>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</si>
  <si>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</si>
  <si>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</si>
  <si>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</si>
  <si>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</si>
  <si>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</si>
  <si>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</si>
  <si>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</si>
  <si>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</si>
  <si>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Black</t>
  </si>
  <si>
    <t>Roland Fjeld</t>
  </si>
  <si>
    <t>Roland Murray</t>
  </si>
  <si>
    <t>Rose O'Brian</t>
  </si>
  <si>
    <t>Ross Baird</t>
  </si>
  <si>
    <t>Ross DeVincentis</t>
  </si>
  <si>
    <t>Roy Collins</t>
  </si>
  <si>
    <t>Roy French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</si>
  <si>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</si>
  <si>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</si>
  <si>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</si>
  <si>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</si>
  <si>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</si>
  <si>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</si>
  <si>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</si>
  <si>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</si>
  <si>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</si>
  <si>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</si>
  <si>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</si>
  <si>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</si>
  <si>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</si>
  <si>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</si>
  <si>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</si>
  <si>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</si>
  <si>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Valerie Dominguez</t>
  </si>
  <si>
    <t>Valerie Mitchum</t>
  </si>
  <si>
    <t>Valerie Takahito</t>
  </si>
  <si>
    <t>Vicky Freymann</t>
  </si>
  <si>
    <t>Victor Price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</si>
  <si>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</si>
  <si>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</si>
  <si>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</si>
  <si>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</si>
  <si>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</si>
  <si>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</si>
  <si>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</si>
  <si>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</si>
  <si>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Price</t>
  </si>
  <si>
    <t>Yana Sorensen</t>
  </si>
  <si>
    <t>Yoseph Carroll</t>
  </si>
  <si>
    <t>DESCRIPTIVE ANALYTICS QUESTIONS</t>
  </si>
  <si>
    <t>BD</t>
  </si>
  <si>
    <t>10 Eldest Members (Old Admissions)</t>
  </si>
  <si>
    <t>10 Youngest Members (New Admissions)</t>
  </si>
  <si>
    <t>Eldest Members</t>
  </si>
  <si>
    <t>Dates</t>
  </si>
  <si>
    <t>Youngest Members</t>
  </si>
  <si>
    <t>Production</t>
  </si>
  <si>
    <t>New Members</t>
  </si>
  <si>
    <t>Dates (DOB)</t>
  </si>
  <si>
    <t>Names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</si>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</sst>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15" fontId="0" fillId="0" borderId="0" xfId="0" applyNumberFormat="1"/>
    <xf numFmtId="164" fontId="0" fillId="0" borderId="0" xfId="0" applyNumberFormat="1"/>
    <xf numFmtId="0" fontId="3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2" xfId="0" applyBorder="1"/>
    <xf numFmtId="14" fontId="0" fillId="0" borderId="3" xfId="0" applyNumberFormat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0" borderId="9" xfId="0" applyNumberFormat="1" applyBorder="1"/>
    <xf numFmtId="164" fontId="2" fillId="2" borderId="5" xfId="0" applyNumberFormat="1" applyFont="1" applyFill="1" applyBorder="1" applyAlignment="1">
      <alignment horizontal="center"/>
    </xf>
    <xf numFmtId="15" fontId="1" fillId="0" borderId="0" xfId="0" applyNumberFormat="1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"/>
    </dxf>
    <dxf>
      <numFmt numFmtId="165" formatCode="m/d/yyyy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/>
        <horizontal/>
      </border>
    </dxf>
    <dxf>
      <numFmt numFmtId="165" formatCode="m/d/yyyy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 diagonalUp="0" diagonalDown="0">
        <left/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 outline="0">
        <top style="dotted">
          <color auto="1"/>
        </top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666205</xdr:colOff>
      <xdr:row>0</xdr:row>
      <xdr:rowOff>0</xdr:rowOff>
    </xdr:from>
    <xdr:to>
      <xdr:col>16</xdr:col>
      <xdr:colOff>445230</xdr:colOff>
      <xdr:row>3</xdr:row>
      <xdr:rowOff>15300</xdr:rowOff>
    </xdr:to>
    <xdr:sp macro="" textlink="">
      <xdr:nvSpPr>
        <xdr:cNvPr id="2" name="Round Same Side Corner Rectangle 11">
          <a:extLst>
            <a:ext uri="{FF2B5EF4-FFF2-40B4-BE49-F238E27FC236}">
              <a16:creationId xmlns:a16="http://schemas.microsoft.com/office/drawing/2014/main" id="{39E094B0-1353-4958-9738-F320BADFB064}"/>
            </a:ext>
          </a:extLst>
        </xdr:cNvPr>
        <xdr:cNvSpPr/>
      </xdr:nvSpPr>
      <xdr:spPr>
        <a:xfrm>
          <a:off x="1375954" y="0"/>
          <a:ext cx="15079985" cy="563940"/>
        </a:xfrm>
        <a:prstGeom prst="round2SameRect">
          <a:avLst>
            <a:gd name="adj1" fmla="val 0"/>
            <a:gd name="adj2" fmla="val 8201"/>
          </a:avLst>
        </a:prstGeom>
        <a:solidFill>
          <a:srgbClr val="0070C0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Descriptive Analytics | Examples</a:t>
          </a:r>
          <a:r>
            <a:rPr lang="en-US" sz="2000" baseline="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 of Human Resource Management (HRM) | Relevant for all Professionals</a:t>
          </a:r>
          <a:endParaRPr lang="en-US" sz="2000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7</xdr:col>
      <xdr:colOff>112567</xdr:colOff>
      <xdr:row>12</xdr:row>
      <xdr:rowOff>129886</xdr:rowOff>
    </xdr:from>
    <xdr:to>
      <xdr:col>13</xdr:col>
      <xdr:colOff>112569</xdr:colOff>
      <xdr:row>14</xdr:row>
      <xdr:rowOff>121227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2657FB0-E962-4F63-9B29-2CC1CEF80FFD}"/>
            </a:ext>
          </a:extLst>
        </xdr:cNvPr>
        <xdr:cNvSpPr/>
      </xdr:nvSpPr>
      <xdr:spPr>
        <a:xfrm>
          <a:off x="7213022" y="2467841"/>
          <a:ext cx="4745183" cy="372341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latin typeface="Century Gothic" panose="020B0502020202020204" pitchFamily="34" charset="0"/>
            </a:rPr>
            <a:t>10 Eldest Members (Old Admissions)</a:t>
          </a:r>
        </a:p>
      </xdr:txBody>
    </xdr:sp>
    <xdr:clientData/>
  </xdr:twoCellAnchor>
  <xdr:twoCellAnchor>
    <xdr:from>
      <xdr:col>7</xdr:col>
      <xdr:colOff>8660</xdr:colOff>
      <xdr:row>26</xdr:row>
      <xdr:rowOff>147204</xdr:rowOff>
    </xdr:from>
    <xdr:to>
      <xdr:col>14</xdr:col>
      <xdr:colOff>17319</xdr:colOff>
      <xdr:row>28</xdr:row>
      <xdr:rowOff>138545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E73C0A5-094A-4468-B25D-403D9495C119}"/>
            </a:ext>
          </a:extLst>
        </xdr:cNvPr>
        <xdr:cNvSpPr/>
      </xdr:nvSpPr>
      <xdr:spPr>
        <a:xfrm>
          <a:off x="6996546" y="5152159"/>
          <a:ext cx="4849091" cy="372341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latin typeface="Century Gothic" panose="020B0502020202020204" pitchFamily="34" charset="0"/>
            </a:rPr>
            <a:t>10 Youngest Members (New Admissions)</a:t>
          </a:r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14</xdr:col>
      <xdr:colOff>8659</xdr:colOff>
      <xdr:row>42</xdr:row>
      <xdr:rowOff>181841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893DA19-121D-486C-8F20-26B8A28AD5C9}"/>
            </a:ext>
          </a:extLst>
        </xdr:cNvPr>
        <xdr:cNvSpPr/>
      </xdr:nvSpPr>
      <xdr:spPr>
        <a:xfrm>
          <a:off x="6987886" y="7862455"/>
          <a:ext cx="4849091" cy="372341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latin typeface="Century Gothic" panose="020B0502020202020204" pitchFamily="34" charset="0"/>
            </a:rPr>
            <a:t>10 Eldest Members (DOB)</a:t>
          </a:r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14</xdr:col>
      <xdr:colOff>8659</xdr:colOff>
      <xdr:row>57</xdr:row>
      <xdr:rowOff>181841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1AF58DD-354A-46ED-9D79-31CED3920DA2}"/>
            </a:ext>
          </a:extLst>
        </xdr:cNvPr>
        <xdr:cNvSpPr/>
      </xdr:nvSpPr>
      <xdr:spPr>
        <a:xfrm>
          <a:off x="6987886" y="10719955"/>
          <a:ext cx="4849091" cy="372341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latin typeface="Century Gothic" panose="020B0502020202020204" pitchFamily="34" charset="0"/>
            </a:rPr>
            <a:t>10 New Members (DOB)</a:t>
          </a:r>
        </a:p>
      </xdr:txBody>
    </xdr:sp>
    <xdr:clientData/>
  </xdr:twoCellAnchor>
  <xdr:twoCellAnchor>
    <xdr:from>
      <xdr:col>7</xdr:col>
      <xdr:colOff>1</xdr:colOff>
      <xdr:row>71</xdr:row>
      <xdr:rowOff>0</xdr:rowOff>
    </xdr:from>
    <xdr:to>
      <xdr:col>12</xdr:col>
      <xdr:colOff>112569</xdr:colOff>
      <xdr:row>72</xdr:row>
      <xdr:rowOff>181841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5B27534-EF1D-4902-BFAE-B08AD48601EC}"/>
            </a:ext>
          </a:extLst>
        </xdr:cNvPr>
        <xdr:cNvSpPr/>
      </xdr:nvSpPr>
      <xdr:spPr>
        <a:xfrm>
          <a:off x="7594024" y="13577455"/>
          <a:ext cx="3463636" cy="372341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latin typeface="Century Gothic" panose="020B0502020202020204" pitchFamily="34" charset="0"/>
            </a:rPr>
            <a:t>Birthday</a:t>
          </a:r>
          <a:r>
            <a:rPr lang="en-US" sz="1800" b="1" baseline="0">
              <a:latin typeface="Century Gothic" panose="020B0502020202020204" pitchFamily="34" charset="0"/>
            </a:rPr>
            <a:t> in this Month</a:t>
          </a:r>
          <a:endParaRPr lang="en-US" sz="18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12</xdr:col>
      <xdr:colOff>112568</xdr:colOff>
      <xdr:row>101</xdr:row>
      <xdr:rowOff>181841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A17319B-DA5D-42B8-A18C-5183B8E039AE}"/>
            </a:ext>
          </a:extLst>
        </xdr:cNvPr>
        <xdr:cNvSpPr/>
      </xdr:nvSpPr>
      <xdr:spPr>
        <a:xfrm>
          <a:off x="7594023" y="19101955"/>
          <a:ext cx="3463636" cy="372341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latin typeface="Century Gothic" panose="020B0502020202020204" pitchFamily="34" charset="0"/>
            </a:rPr>
            <a:t>Anniversary</a:t>
          </a:r>
          <a:r>
            <a:rPr lang="en-US" sz="1800" b="1" baseline="0">
              <a:latin typeface="Century Gothic" panose="020B0502020202020204" pitchFamily="34" charset="0"/>
            </a:rPr>
            <a:t> in this Month</a:t>
          </a:r>
          <a:endParaRPr lang="en-US" sz="1800" b="1">
            <a:latin typeface="Century Gothic" panose="020B0502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8BA3B-057D-49D6-9358-4B3238775CC0}" name="Data" displayName="Data" ref="A5:F186" totalsRowShown="0" headerRowDxfId="11" headerRowBorderDxfId="10" tableBorderDxfId="9" totalsRowBorderDxfId="8">
  <autoFilter ref="A5:F186" xr:uid="{EDA8BA3B-057D-49D6-9358-4B3238775CC0}"/>
  <tableColumns count="6">
    <tableColumn id="1" xr3:uid="{08273BD5-1613-4ADC-955D-F167DA4C8B40}" name="Emp No" dataDxfId="7"/>
    <tableColumn id="2" xr3:uid="{2A11B66A-9613-4DAA-B77A-51918ED072E3}" name="Emp Name" dataDxfId="6"/>
    <tableColumn id="3" xr3:uid="{28CA7F8E-DE01-4862-8B15-7121B2663E46}" name="Function" dataDxfId="5"/>
    <tableColumn id="4" xr3:uid="{0E9BEF01-FAB7-41F0-8D9C-D19FD1CE50B5}" name="Date of Birth" dataDxfId="4"/>
    <tableColumn id="5" xr3:uid="{E284AF9A-E647-4B87-8DA1-3D8AB112BF80}" name="Date of Admission" dataDxfId="3"/>
    <tableColumn id="9" xr3:uid="{966ED651-9097-4622-AECF-0909B87A49B7}" name="BD" dataDxfId="2">
      <calculatedColumnFormula>IF(TEXT(TODAY(),"MMM")=TEXT(Data[[#This Row],[Date of Birth]],"MMM"),"YES","NO")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C72C-9A4D-4A31-9395-26224AD260F3}">
  <dimension ref="A4:K186"/>
  <sheetViews>
    <sheetView tabSelected="1" topLeftCell="A14" zoomScale="130" zoomScaleNormal="130" workbookViewId="0">
      <selection activeCell="I107" sqref="I107"/>
    </sheetView>
  </sheetViews>
  <sheetFormatPr defaultRowHeight="14.4" x14ac:dyDescent="0.3"/>
  <cols>
    <col min="1" max="1" width="10.33203125" bestFit="1" customWidth="1"/>
    <col min="2" max="2" width="18.6640625" bestFit="1" customWidth="1"/>
    <col min="3" max="3" width="23.44140625" customWidth="1"/>
    <col min="4" max="4" width="14.5546875" bestFit="1" customWidth="1"/>
    <col min="5" max="5" width="20" bestFit="1" customWidth="1"/>
    <col min="6" max="6" width="20.6640625" customWidth="1"/>
    <col min="7" max="7" width="11" customWidth="1"/>
    <col min="8" max="8" width="16" customWidth="1"/>
    <col min="9" max="9" width="17.44140625" customWidth="1"/>
    <col min="10" max="10" width="13.109375" customWidth="1"/>
    <col min="11" max="11" width="16" bestFit="1" customWidth="1"/>
    <col min="12" max="12" width="21" customWidth="1"/>
    <col min="13" max="13" width="2" customWidth="1"/>
    <col min="15" max="15" width="15.6640625" bestFit="1" customWidth="1"/>
    <col min="16" max="16" width="6.5546875" customWidth="1"/>
    <col min="17" max="17" width="9.88671875" bestFit="1" customWidth="1"/>
    <col min="18" max="18" width="24.33203125" bestFit="1" customWidth="1"/>
  </cols>
  <sheetData>
    <row r="4" spans="1:11" ht="18" x14ac:dyDescent="0.35">
      <c r="A4" s="7" t="s">
        <v>9</v>
      </c>
      <c r="I4" s="1"/>
      <c r="K4" s="1"/>
    </row>
    <row r="5" spans="1:11" x14ac:dyDescent="0.3">
      <c r="A5" s="12" t="s">
        <v>0</v>
      </c>
      <c r="B5" s="13" t="s">
        <v>1</v>
      </c>
      <c r="C5" s="13" t="s">
        <v>2</v>
      </c>
      <c r="D5" s="13" t="s">
        <v>3</v>
      </c>
      <c r="E5" s="14" t="s">
        <v>4</v>
      </c>
      <c r="F5" s="19" t="s">
        <v>198</v>
      </c>
    </row>
    <row r="6" spans="1:11" x14ac:dyDescent="0.3">
      <c r="A6" s="10">
        <v>798319</v>
      </c>
      <c r="B6" s="3" t="s">
        <v>18</v>
      </c>
      <c r="C6" s="3" t="s">
        <v>204</v>
      </c>
      <c r="D6" s="4">
        <v>26988</v>
      </c>
      <c r="E6" s="11">
        <v>33606</v>
      </c>
      <c r="F6" s="6" t="str">
        <f ca="1">IF(TEXT(TODAY(),"MMM")=TEXT(Data[[#This Row],[Date of Birth]],"MMM"),"YES","NO")</f>
        <v>NO</v>
      </c>
      <c r="H6" s="8" t="s">
        <v>197</v>
      </c>
      <c r="I6" s="9"/>
      <c r="J6" s="9"/>
    </row>
    <row r="7" spans="1:11" x14ac:dyDescent="0.3">
      <c r="A7" s="10">
        <v>735878</v>
      </c>
      <c r="B7" s="3" t="s">
        <v>19</v>
      </c>
      <c r="C7" s="3" t="s">
        <v>204</v>
      </c>
      <c r="D7" s="4">
        <v>30426</v>
      </c>
      <c r="E7" s="11">
        <v>36762</v>
      </c>
      <c r="F7" s="6" t="str">
        <f ca="1">IF(TEXT(TODAY(),"MMM")=TEXT(Data[[#This Row],[Date of Birth]],"MMM"),"YES","NO")</f>
        <v>NO</v>
      </c>
      <c r="G7" s="8">
        <v>1</v>
      </c>
      <c r="H7" t="s">
        <v>199</v>
      </c>
    </row>
    <row r="8" spans="1:11" x14ac:dyDescent="0.3">
      <c r="A8" s="10">
        <v>749007</v>
      </c>
      <c r="B8" s="3" t="s">
        <v>20</v>
      </c>
      <c r="C8" s="3" t="s">
        <v>204</v>
      </c>
      <c r="D8" s="4">
        <v>25935</v>
      </c>
      <c r="E8" s="11">
        <v>33606</v>
      </c>
      <c r="F8" s="6" t="str">
        <f ca="1">IF(TEXT(TODAY(),"MMM")=TEXT(Data[[#This Row],[Date of Birth]],"MMM"),"YES","NO")</f>
        <v>NO</v>
      </c>
      <c r="G8" s="8">
        <v>2</v>
      </c>
      <c r="H8" t="s">
        <v>200</v>
      </c>
    </row>
    <row r="9" spans="1:11" x14ac:dyDescent="0.3">
      <c r="A9" s="10">
        <v>814629</v>
      </c>
      <c r="B9" s="3" t="s">
        <v>21</v>
      </c>
      <c r="C9" s="3" t="s">
        <v>204</v>
      </c>
      <c r="D9" s="4">
        <v>27741</v>
      </c>
      <c r="E9" s="11">
        <v>34698</v>
      </c>
      <c r="F9" s="6" t="str">
        <f ca="1">IF(TEXT(TODAY(),"MMM")=TEXT(Data[[#This Row],[Date of Birth]],"MMM"),"YES","NO")</f>
        <v>NO</v>
      </c>
      <c r="G9" s="8">
        <v>3</v>
      </c>
      <c r="H9" t="s">
        <v>5</v>
      </c>
    </row>
    <row r="10" spans="1:11" x14ac:dyDescent="0.3">
      <c r="A10" s="10">
        <v>778037</v>
      </c>
      <c r="B10" s="3" t="s">
        <v>22</v>
      </c>
      <c r="C10" s="3" t="s">
        <v>204</v>
      </c>
      <c r="D10" s="4">
        <v>34033</v>
      </c>
      <c r="E10" s="11">
        <v>42685</v>
      </c>
      <c r="F10" s="6" t="str">
        <f ca="1">IF(TEXT(TODAY(),"MMM")=TEXT(Data[[#This Row],[Date of Birth]],"MMM"),"YES","NO")</f>
        <v>NO</v>
      </c>
      <c r="G10" s="8">
        <v>4</v>
      </c>
      <c r="H10" t="s">
        <v>6</v>
      </c>
    </row>
    <row r="11" spans="1:11" x14ac:dyDescent="0.3">
      <c r="A11" s="10">
        <v>681948</v>
      </c>
      <c r="B11" s="3" t="s">
        <v>23</v>
      </c>
      <c r="C11" s="3" t="s">
        <v>204</v>
      </c>
      <c r="D11" s="4">
        <v>32225</v>
      </c>
      <c r="E11" s="11">
        <v>38422</v>
      </c>
      <c r="F11" s="6" t="str">
        <f ca="1">IF(TEXT(TODAY(),"MMM")=TEXT(Data[[#This Row],[Date of Birth]],"MMM"),"YES","NO")</f>
        <v>NO</v>
      </c>
      <c r="G11" s="8">
        <v>5</v>
      </c>
      <c r="H11" t="s">
        <v>7</v>
      </c>
    </row>
    <row r="12" spans="1:11" x14ac:dyDescent="0.3">
      <c r="A12" s="10">
        <v>624270</v>
      </c>
      <c r="B12" s="3" t="s">
        <v>24</v>
      </c>
      <c r="C12" s="3" t="s">
        <v>204</v>
      </c>
      <c r="D12" s="4">
        <v>31029</v>
      </c>
      <c r="E12" s="11">
        <v>37101</v>
      </c>
      <c r="F12" s="6" t="str">
        <f ca="1">IF(TEXT(TODAY(),"MMM")=TEXT(Data[[#This Row],[Date of Birth]],"MMM"),"YES","NO")</f>
        <v>NO</v>
      </c>
      <c r="G12" s="8">
        <v>6</v>
      </c>
      <c r="H12" t="s">
        <v>8</v>
      </c>
    </row>
    <row r="13" spans="1:11" x14ac:dyDescent="0.3">
      <c r="A13" s="10">
        <v>806507</v>
      </c>
      <c r="B13" s="3" t="s">
        <v>30</v>
      </c>
      <c r="C13" s="3" t="s">
        <v>204</v>
      </c>
      <c r="D13" s="4">
        <v>28036</v>
      </c>
      <c r="E13" s="11">
        <v>35083</v>
      </c>
      <c r="F13" s="6" t="str">
        <f ca="1">IF(TEXT(TODAY(),"MMM")=TEXT(Data[[#This Row],[Date of Birth]],"MMM"),"YES","NO")</f>
        <v>NO</v>
      </c>
      <c r="G13" s="2"/>
    </row>
    <row r="14" spans="1:11" x14ac:dyDescent="0.3">
      <c r="A14" s="10">
        <v>648707</v>
      </c>
      <c r="B14" s="3" t="s">
        <v>31</v>
      </c>
      <c r="C14" s="3" t="s">
        <v>204</v>
      </c>
      <c r="D14" s="4">
        <v>33648</v>
      </c>
      <c r="E14" s="11">
        <v>39545</v>
      </c>
      <c r="F14" s="6" t="str">
        <f ca="1">IF(TEXT(TODAY(),"MMM")=TEXT(Data[[#This Row],[Date of Birth]],"MMM"),"YES","NO")</f>
        <v>YES</v>
      </c>
    </row>
    <row r="15" spans="1:11" x14ac:dyDescent="0.3">
      <c r="A15" s="10">
        <v>843774</v>
      </c>
      <c r="B15" s="3" t="s">
        <v>32</v>
      </c>
      <c r="C15" s="3" t="s">
        <v>204</v>
      </c>
      <c r="D15" s="4">
        <v>29657</v>
      </c>
      <c r="E15" s="11">
        <v>38058</v>
      </c>
      <c r="F15" s="6" t="str">
        <f ca="1">IF(TEXT(TODAY(),"MMM")=TEXT(Data[[#This Row],[Date of Birth]],"MMM"),"YES","NO")</f>
        <v>NO</v>
      </c>
    </row>
    <row r="16" spans="1:11" x14ac:dyDescent="0.3">
      <c r="A16" s="10">
        <v>730727</v>
      </c>
      <c r="B16" s="3" t="s">
        <v>173</v>
      </c>
      <c r="C16" s="3" t="s">
        <v>204</v>
      </c>
      <c r="D16" s="4">
        <v>27766</v>
      </c>
      <c r="E16" s="11">
        <v>41518</v>
      </c>
      <c r="F16" s="6" t="str">
        <f ca="1">IF(TEXT(TODAY(),"MMM")=TEXT(Data[[#This Row],[Date of Birth]],"MMM"),"YES","NO")</f>
        <v>NO</v>
      </c>
      <c r="H16" s="8" t="s">
        <v>201</v>
      </c>
      <c r="I16" s="8"/>
      <c r="J16" s="8" t="s">
        <v>202</v>
      </c>
    </row>
    <row r="17" spans="1:10" x14ac:dyDescent="0.3">
      <c r="A17" s="10">
        <v>741587</v>
      </c>
      <c r="B17" s="3" t="s">
        <v>174</v>
      </c>
      <c r="C17" s="3" t="s">
        <v>204</v>
      </c>
      <c r="D17" s="4">
        <v>35336</v>
      </c>
      <c r="E17" s="11">
        <v>43116</v>
      </c>
      <c r="F17" s="6" t="str">
        <f ca="1">IF(TEXT(TODAY(),"MMM")=TEXT(Data[[#This Row],[Date of Birth]],"MMM"),"YES","NO")</f>
        <v>NO</v>
      </c>
      <c r="H17">
        <v>1</v>
      </c>
      <c r="I17" t="str">
        <f>INDEX(Data[Emp Name],MATCH(J17,Data[Date of Admission]))</f>
        <v>Hunter Glantz</v>
      </c>
      <c r="J17" s="1">
        <f>SMALL(Data[Date of Admission],H17)</f>
        <v>26751</v>
      </c>
    </row>
    <row r="18" spans="1:10" x14ac:dyDescent="0.3">
      <c r="A18" s="10">
        <v>823715</v>
      </c>
      <c r="B18" s="3" t="s">
        <v>175</v>
      </c>
      <c r="C18" s="3" t="s">
        <v>204</v>
      </c>
      <c r="D18" s="4">
        <v>35352</v>
      </c>
      <c r="E18" s="11">
        <v>43684</v>
      </c>
      <c r="F18" s="6" t="str">
        <f ca="1">IF(TEXT(TODAY(),"MMM")=TEXT(Data[[#This Row],[Date of Birth]],"MMM"),"YES","NO")</f>
        <v>NO</v>
      </c>
      <c r="H18">
        <v>2</v>
      </c>
      <c r="I18" t="str">
        <f>INDEX(Data[Emp Name],MATCH(J18,Data[Date of Admission]))</f>
        <v>Irene Maddox</v>
      </c>
      <c r="J18" s="1">
        <f>SMALL(Data[Date of Admission],H18)</f>
        <v>27158</v>
      </c>
    </row>
    <row r="19" spans="1:10" x14ac:dyDescent="0.3">
      <c r="A19" s="10">
        <v>656271</v>
      </c>
      <c r="B19" s="3" t="s">
        <v>176</v>
      </c>
      <c r="C19" s="3" t="s">
        <v>204</v>
      </c>
      <c r="D19" s="4">
        <v>33187</v>
      </c>
      <c r="E19" s="11">
        <v>40095</v>
      </c>
      <c r="F19" s="6" t="str">
        <f ca="1">IF(TEXT(TODAY(),"MMM")=TEXT(Data[[#This Row],[Date of Birth]],"MMM"),"YES","NO")</f>
        <v>NO</v>
      </c>
      <c r="H19">
        <v>3</v>
      </c>
      <c r="I19" t="str">
        <f>INDEX(Data[Emp Name],MATCH(J19,Data[Date of Admission]))</f>
        <v>Ivan Gibson</v>
      </c>
      <c r="J19" s="1">
        <f>SMALL(Data[Date of Admission],H19)</f>
        <v>27395</v>
      </c>
    </row>
    <row r="20" spans="1:10" x14ac:dyDescent="0.3">
      <c r="A20" s="10">
        <v>633456</v>
      </c>
      <c r="B20" s="3" t="s">
        <v>177</v>
      </c>
      <c r="C20" s="3" t="s">
        <v>204</v>
      </c>
      <c r="D20" s="4">
        <v>34377</v>
      </c>
      <c r="E20" s="11">
        <v>42370</v>
      </c>
      <c r="F20" s="6" t="str">
        <f ca="1">IF(TEXT(TODAY(),"MMM")=TEXT(Data[[#This Row],[Date of Birth]],"MMM"),"YES","NO")</f>
        <v>YES</v>
      </c>
      <c r="H20">
        <v>4</v>
      </c>
      <c r="I20" t="str">
        <f>INDEX(Data[Emp Name],MATCH(J20,Data[Date of Admission]))</f>
        <v>Ivan Liston</v>
      </c>
      <c r="J20" s="1">
        <f>SMALL(Data[Date of Admission],H20)</f>
        <v>28120</v>
      </c>
    </row>
    <row r="21" spans="1:10" x14ac:dyDescent="0.3">
      <c r="A21" s="10">
        <v>620254</v>
      </c>
      <c r="B21" s="3" t="s">
        <v>178</v>
      </c>
      <c r="C21" s="3" t="s">
        <v>204</v>
      </c>
      <c r="D21" s="4">
        <v>36045</v>
      </c>
      <c r="E21" s="11">
        <v>42400</v>
      </c>
      <c r="F21" s="6" t="str">
        <f ca="1">IF(TEXT(TODAY(),"MMM")=TEXT(Data[[#This Row],[Date of Birth]],"MMM"),"YES","NO")</f>
        <v>NO</v>
      </c>
      <c r="H21">
        <v>5</v>
      </c>
      <c r="I21" t="str">
        <f>INDEX(Data[Emp Name],MATCH(J21,Data[Date of Admission]))</f>
        <v>Jack Garza</v>
      </c>
      <c r="J21" s="1">
        <f>SMALL(Data[Date of Admission],H21)</f>
        <v>28342</v>
      </c>
    </row>
    <row r="22" spans="1:10" x14ac:dyDescent="0.3">
      <c r="A22" s="10">
        <v>612222</v>
      </c>
      <c r="B22" s="3" t="s">
        <v>179</v>
      </c>
      <c r="C22" s="3" t="s">
        <v>204</v>
      </c>
      <c r="D22" s="4">
        <v>35485</v>
      </c>
      <c r="E22" s="11">
        <v>42769</v>
      </c>
      <c r="F22" s="6" t="str">
        <f ca="1">IF(TEXT(TODAY(),"MMM")=TEXT(Data[[#This Row],[Date of Birth]],"MMM"),"YES","NO")</f>
        <v>YES</v>
      </c>
      <c r="H22">
        <v>6</v>
      </c>
      <c r="I22" t="str">
        <f>INDEX(Data[Emp Name],MATCH(J22,Data[Date of Admission]))</f>
        <v>Jack O'Briant</v>
      </c>
      <c r="J22" s="1">
        <f>SMALL(Data[Date of Admission],H22)</f>
        <v>28795</v>
      </c>
    </row>
    <row r="23" spans="1:10" x14ac:dyDescent="0.3">
      <c r="A23" s="10">
        <v>613597</v>
      </c>
      <c r="B23" s="3" t="s">
        <v>180</v>
      </c>
      <c r="C23" s="3" t="s">
        <v>204</v>
      </c>
      <c r="D23" s="4">
        <v>30960</v>
      </c>
      <c r="E23" s="11">
        <v>38647</v>
      </c>
      <c r="F23" s="6" t="str">
        <f ca="1">IF(TEXT(TODAY(),"MMM")=TEXT(Data[[#This Row],[Date of Birth]],"MMM"),"YES","NO")</f>
        <v>NO</v>
      </c>
      <c r="H23">
        <v>7</v>
      </c>
      <c r="I23" t="str">
        <f>INDEX(Data[Emp Name],MATCH(J23,Data[Date of Admission]))</f>
        <v>James Galang</v>
      </c>
      <c r="J23" s="1">
        <f>SMALL(Data[Date of Admission],H23)</f>
        <v>29544</v>
      </c>
    </row>
    <row r="24" spans="1:10" x14ac:dyDescent="0.3">
      <c r="A24" s="10">
        <v>681598</v>
      </c>
      <c r="B24" s="3" t="s">
        <v>33</v>
      </c>
      <c r="C24" s="3" t="s">
        <v>204</v>
      </c>
      <c r="D24" s="4">
        <v>36211</v>
      </c>
      <c r="E24" s="11">
        <v>43861</v>
      </c>
      <c r="F24" s="6" t="str">
        <f ca="1">IF(TEXT(TODAY(),"MMM")=TEXT(Data[[#This Row],[Date of Birth]],"MMM"),"YES","NO")</f>
        <v>YES</v>
      </c>
      <c r="H24">
        <v>8</v>
      </c>
      <c r="I24" t="str">
        <f>INDEX(Data[Emp Name],MATCH(J24,Data[Date of Admission]))</f>
        <v>James Lanier</v>
      </c>
      <c r="J24" s="1">
        <f>SMALL(Data[Date of Admission],H24)</f>
        <v>29679</v>
      </c>
    </row>
    <row r="25" spans="1:10" x14ac:dyDescent="0.3">
      <c r="A25" s="10">
        <v>677768</v>
      </c>
      <c r="B25" s="3" t="s">
        <v>34</v>
      </c>
      <c r="C25" s="3" t="s">
        <v>204</v>
      </c>
      <c r="D25" s="4">
        <v>31594</v>
      </c>
      <c r="E25" s="11">
        <v>43288</v>
      </c>
      <c r="F25" s="6" t="str">
        <f ca="1">IF(TEXT(TODAY(),"MMM")=TEXT(Data[[#This Row],[Date of Birth]],"MMM"),"YES","NO")</f>
        <v>NO</v>
      </c>
      <c r="H25">
        <v>9</v>
      </c>
      <c r="I25" t="str">
        <f>INDEX(Data[Emp Name],MATCH(J25,Data[Date of Admission]))</f>
        <v>Jamie Frazer</v>
      </c>
      <c r="J25" s="1">
        <f>SMALL(Data[Date of Admission],H25)</f>
        <v>29888</v>
      </c>
    </row>
    <row r="26" spans="1:10" x14ac:dyDescent="0.3">
      <c r="A26" s="10">
        <v>845467</v>
      </c>
      <c r="B26" s="3" t="s">
        <v>35</v>
      </c>
      <c r="C26" s="3" t="s">
        <v>204</v>
      </c>
      <c r="D26" s="4">
        <v>31831</v>
      </c>
      <c r="E26" s="11">
        <v>44387</v>
      </c>
      <c r="F26" s="6" t="str">
        <f ca="1">IF(TEXT(TODAY(),"MMM")=TEXT(Data[[#This Row],[Date of Birth]],"MMM"),"YES","NO")</f>
        <v>YES</v>
      </c>
      <c r="H26">
        <v>10</v>
      </c>
      <c r="I26" t="str">
        <f>INDEX(Data[Emp Name],MATCH(J26,Data[Date of Admission]))</f>
        <v>Jamie Kunitz</v>
      </c>
      <c r="J26" s="1">
        <f>SMALL(Data[Date of Admission],H26)</f>
        <v>29932</v>
      </c>
    </row>
    <row r="27" spans="1:10" x14ac:dyDescent="0.3">
      <c r="A27" s="10">
        <v>830644</v>
      </c>
      <c r="B27" s="3" t="s">
        <v>36</v>
      </c>
      <c r="C27" s="3" t="s">
        <v>14</v>
      </c>
      <c r="D27" s="4">
        <v>20915</v>
      </c>
      <c r="E27" s="11">
        <v>26751</v>
      </c>
      <c r="F27" s="6" t="str">
        <f ca="1">IF(TEXT(TODAY(),"MMM")=TEXT(Data[[#This Row],[Date of Birth]],"MMM"),"YES","NO")</f>
        <v>NO</v>
      </c>
      <c r="J27" s="5"/>
    </row>
    <row r="28" spans="1:10" x14ac:dyDescent="0.3">
      <c r="A28" s="10"/>
      <c r="B28" s="3"/>
      <c r="C28" s="3"/>
      <c r="D28" s="4"/>
      <c r="E28" s="11"/>
      <c r="F28" s="6"/>
      <c r="J28" s="5"/>
    </row>
    <row r="29" spans="1:10" x14ac:dyDescent="0.3">
      <c r="A29" s="10"/>
      <c r="B29" s="3"/>
      <c r="C29" s="3"/>
      <c r="D29" s="4"/>
      <c r="E29" s="11"/>
      <c r="F29" s="6"/>
      <c r="J29" s="5"/>
    </row>
    <row r="30" spans="1:10" x14ac:dyDescent="0.3">
      <c r="A30" s="10">
        <v>624461</v>
      </c>
      <c r="B30" s="3" t="s">
        <v>37</v>
      </c>
      <c r="C30" s="3" t="s">
        <v>14</v>
      </c>
      <c r="D30" s="4">
        <v>21214</v>
      </c>
      <c r="E30" s="11">
        <v>27158</v>
      </c>
      <c r="F30" s="6" t="str">
        <f ca="1">IF(TEXT(TODAY(),"MMM")=TEXT(Data[[#This Row],[Date of Birth]],"MMM"),"YES","NO")</f>
        <v>NO</v>
      </c>
      <c r="H30" s="8" t="s">
        <v>203</v>
      </c>
      <c r="I30" s="8"/>
      <c r="J30" s="8" t="s">
        <v>202</v>
      </c>
    </row>
    <row r="31" spans="1:10" x14ac:dyDescent="0.3">
      <c r="A31" s="10">
        <v>735223</v>
      </c>
      <c r="B31" s="3" t="s">
        <v>38</v>
      </c>
      <c r="C31" s="3" t="s">
        <v>10</v>
      </c>
      <c r="D31" s="4">
        <v>20454</v>
      </c>
      <c r="E31" s="11">
        <v>27395</v>
      </c>
      <c r="F31" s="6" t="str">
        <f ca="1">IF(TEXT(TODAY(),"MMM")=TEXT(Data[[#This Row],[Date of Birth]],"MMM"),"YES","NO")</f>
        <v>NO</v>
      </c>
      <c r="H31">
        <v>1</v>
      </c>
      <c r="I31" t="str">
        <f>INDEX(Data[Emp Name],MATCH(J31,Data[Date of Admission],0))</f>
        <v>Dean Katz</v>
      </c>
      <c r="J31" s="5">
        <f>LARGE(Data[Date of Admission],H31)</f>
        <v>45215</v>
      </c>
    </row>
    <row r="32" spans="1:10" x14ac:dyDescent="0.3">
      <c r="A32" s="10">
        <v>771206</v>
      </c>
      <c r="B32" s="3" t="s">
        <v>39</v>
      </c>
      <c r="C32" s="3" t="s">
        <v>15</v>
      </c>
      <c r="D32" s="4">
        <v>21179</v>
      </c>
      <c r="E32" s="11">
        <v>28120</v>
      </c>
      <c r="F32" s="6" t="str">
        <f ca="1">IF(TEXT(TODAY(),"MMM")=TEXT(Data[[#This Row],[Date of Birth]],"MMM"),"YES","NO")</f>
        <v>NO</v>
      </c>
      <c r="H32">
        <v>2</v>
      </c>
      <c r="I32" t="str">
        <f>INDEX(Data[Emp Name],MATCH(J32,Data[Date of Admission],0))</f>
        <v>Dean Braden</v>
      </c>
      <c r="J32" s="5">
        <f>LARGE(Data[Date of Admission],H32)</f>
        <v>45201</v>
      </c>
    </row>
    <row r="33" spans="1:10" x14ac:dyDescent="0.3">
      <c r="A33" s="10">
        <v>774976</v>
      </c>
      <c r="B33" s="3" t="s">
        <v>40</v>
      </c>
      <c r="C33" s="3" t="s">
        <v>10</v>
      </c>
      <c r="D33" s="4">
        <v>21958</v>
      </c>
      <c r="E33" s="11">
        <v>28342</v>
      </c>
      <c r="F33" s="6" t="str">
        <f ca="1">IF(TEXT(TODAY(),"MMM")=TEXT(Data[[#This Row],[Date of Birth]],"MMM"),"YES","NO")</f>
        <v>YES</v>
      </c>
      <c r="H33">
        <v>3</v>
      </c>
      <c r="I33" t="str">
        <f>INDEX(Data[Emp Name],MATCH(J33,Data[Date of Admission],0))</f>
        <v>David Wiener</v>
      </c>
      <c r="J33" s="5">
        <f>LARGE(Data[Date of Admission],H33)</f>
        <v>45196</v>
      </c>
    </row>
    <row r="34" spans="1:10" x14ac:dyDescent="0.3">
      <c r="A34" s="10">
        <v>835503</v>
      </c>
      <c r="B34" s="3" t="s">
        <v>41</v>
      </c>
      <c r="C34" s="3" t="s">
        <v>15</v>
      </c>
      <c r="D34" s="4">
        <v>21524</v>
      </c>
      <c r="E34" s="11">
        <v>28795</v>
      </c>
      <c r="F34" s="6" t="str">
        <f ca="1">IF(TEXT(TODAY(),"MMM")=TEXT(Data[[#This Row],[Date of Birth]],"MMM"),"YES","NO")</f>
        <v>NO</v>
      </c>
      <c r="H34">
        <v>4</v>
      </c>
      <c r="I34" t="str">
        <f>INDEX(Data[Emp Name],MATCH(J34,Data[Date of Admission],0))</f>
        <v>David Smith</v>
      </c>
      <c r="J34" s="5">
        <f>LARGE(Data[Date of Admission],H34)</f>
        <v>45189</v>
      </c>
    </row>
    <row r="35" spans="1:10" x14ac:dyDescent="0.3">
      <c r="A35" s="10">
        <v>802336</v>
      </c>
      <c r="B35" s="3" t="s">
        <v>42</v>
      </c>
      <c r="C35" s="3" t="s">
        <v>10</v>
      </c>
      <c r="D35" s="4">
        <v>22534</v>
      </c>
      <c r="E35" s="11">
        <v>29544</v>
      </c>
      <c r="F35" s="6" t="str">
        <f ca="1">IF(TEXT(TODAY(),"MMM")=TEXT(Data[[#This Row],[Date of Birth]],"MMM"),"YES","NO")</f>
        <v>NO</v>
      </c>
      <c r="H35">
        <v>5</v>
      </c>
      <c r="I35" t="str">
        <f>INDEX(Data[Emp Name],MATCH(J35,Data[Date of Admission],0))</f>
        <v>David Philippe</v>
      </c>
      <c r="J35" s="5">
        <f>LARGE(Data[Date of Admission],H35)</f>
        <v>45163</v>
      </c>
    </row>
    <row r="36" spans="1:10" x14ac:dyDescent="0.3">
      <c r="A36" s="10">
        <v>766045</v>
      </c>
      <c r="B36" s="3" t="s">
        <v>43</v>
      </c>
      <c r="C36" s="3" t="s">
        <v>15</v>
      </c>
      <c r="D36" s="4">
        <v>23610</v>
      </c>
      <c r="E36" s="11">
        <v>29679</v>
      </c>
      <c r="F36" s="6" t="str">
        <f ca="1">IF(TEXT(TODAY(),"MMM")=TEXT(Data[[#This Row],[Date of Birth]],"MMM"),"YES","NO")</f>
        <v>NO</v>
      </c>
      <c r="H36">
        <v>6</v>
      </c>
      <c r="I36" t="str">
        <f>INDEX(Data[Emp Name],MATCH(J36,Data[Date of Admission],0))</f>
        <v>Yoseph Carroll</v>
      </c>
      <c r="J36" s="5">
        <f>LARGE(Data[Date of Admission],H36)</f>
        <v>45128</v>
      </c>
    </row>
    <row r="37" spans="1:10" x14ac:dyDescent="0.3">
      <c r="A37" s="10">
        <v>621238</v>
      </c>
      <c r="B37" s="3" t="s">
        <v>44</v>
      </c>
      <c r="C37" s="3" t="s">
        <v>11</v>
      </c>
      <c r="D37" s="4">
        <v>23034</v>
      </c>
      <c r="E37" s="11">
        <v>29888</v>
      </c>
      <c r="F37" s="6" t="str">
        <f ca="1">IF(TEXT(TODAY(),"MMM")=TEXT(Data[[#This Row],[Date of Birth]],"MMM"),"YES","NO")</f>
        <v>NO</v>
      </c>
      <c r="H37">
        <v>7</v>
      </c>
      <c r="I37" t="str">
        <f>INDEX(Data[Emp Name],MATCH(J37,Data[Date of Admission],0))</f>
        <v>Yana Sorensen</v>
      </c>
      <c r="J37" s="5">
        <f>LARGE(Data[Date of Admission],H37)</f>
        <v>45113</v>
      </c>
    </row>
    <row r="38" spans="1:10" x14ac:dyDescent="0.3">
      <c r="A38" s="10">
        <v>658088</v>
      </c>
      <c r="B38" s="3" t="s">
        <v>45</v>
      </c>
      <c r="C38" s="3" t="s">
        <v>11</v>
      </c>
      <c r="D38" s="4">
        <v>21807</v>
      </c>
      <c r="E38" s="11">
        <v>29932</v>
      </c>
      <c r="F38" s="6" t="str">
        <f ca="1">IF(TEXT(TODAY(),"MMM")=TEXT(Data[[#This Row],[Date of Birth]],"MMM"),"YES","NO")</f>
        <v>NO</v>
      </c>
      <c r="H38">
        <v>8</v>
      </c>
      <c r="I38" t="str">
        <f>INDEX(Data[Emp Name],MATCH(J38,Data[Date of Admission],0))</f>
        <v>William Brown</v>
      </c>
      <c r="J38" s="5">
        <f>LARGE(Data[Date of Admission],H38)</f>
        <v>45097</v>
      </c>
    </row>
    <row r="39" spans="1:10" x14ac:dyDescent="0.3">
      <c r="A39" s="10">
        <v>792571</v>
      </c>
      <c r="B39" s="3" t="s">
        <v>46</v>
      </c>
      <c r="C39" s="3" t="s">
        <v>15</v>
      </c>
      <c r="D39" s="4">
        <v>23234</v>
      </c>
      <c r="E39" s="11">
        <v>29994</v>
      </c>
      <c r="F39" s="6" t="str">
        <f ca="1">IF(TEXT(TODAY(),"MMM")=TEXT(Data[[#This Row],[Date of Birth]],"MMM"),"YES","NO")</f>
        <v>NO</v>
      </c>
      <c r="H39">
        <v>9</v>
      </c>
      <c r="I39" t="str">
        <f>INDEX(Data[Emp Name],MATCH(J39,Data[Date of Admission],0))</f>
        <v>Vivian Mathis</v>
      </c>
      <c r="J39" s="5">
        <f>LARGE(Data[Date of Admission],H39)</f>
        <v>45096</v>
      </c>
    </row>
    <row r="40" spans="1:10" x14ac:dyDescent="0.3">
      <c r="A40" s="10">
        <v>821518</v>
      </c>
      <c r="B40" s="3" t="s">
        <v>47</v>
      </c>
      <c r="C40" s="3" t="s">
        <v>12</v>
      </c>
      <c r="D40" s="4">
        <v>23693</v>
      </c>
      <c r="E40" s="11">
        <v>30708</v>
      </c>
      <c r="F40" s="6" t="str">
        <f ca="1">IF(TEXT(TODAY(),"MMM")=TEXT(Data[[#This Row],[Date of Birth]],"MMM"),"YES","NO")</f>
        <v>NO</v>
      </c>
      <c r="H40">
        <v>10</v>
      </c>
      <c r="I40" t="str">
        <f>INDEX(Data[Emp Name],MATCH(J40,Data[Date of Admission],0))</f>
        <v>Xylona Price</v>
      </c>
      <c r="J40" s="5">
        <f>LARGE(Data[Date of Admission],H40)</f>
        <v>45094</v>
      </c>
    </row>
    <row r="41" spans="1:10" x14ac:dyDescent="0.3">
      <c r="A41" s="10">
        <v>665693</v>
      </c>
      <c r="B41" s="3" t="s">
        <v>48</v>
      </c>
      <c r="C41" s="3" t="s">
        <v>16</v>
      </c>
      <c r="D41" s="4">
        <v>22348</v>
      </c>
      <c r="E41" s="11">
        <v>31009</v>
      </c>
      <c r="F41" s="6" t="str">
        <f ca="1">IF(TEXT(TODAY(),"MMM")=TEXT(Data[[#This Row],[Date of Birth]],"MMM"),"YES","NO")</f>
        <v>NO</v>
      </c>
      <c r="J41" s="5"/>
    </row>
    <row r="42" spans="1:10" x14ac:dyDescent="0.3">
      <c r="A42" s="10">
        <v>712454</v>
      </c>
      <c r="B42" s="3" t="s">
        <v>49</v>
      </c>
      <c r="C42" s="3" t="s">
        <v>16</v>
      </c>
      <c r="D42" s="4">
        <v>23005</v>
      </c>
      <c r="E42" s="11">
        <v>31303</v>
      </c>
      <c r="F42" s="6" t="str">
        <f ca="1">IF(TEXT(TODAY(),"MMM")=TEXT(Data[[#This Row],[Date of Birth]],"MMM"),"YES","NO")</f>
        <v>NO</v>
      </c>
      <c r="J42" s="5"/>
    </row>
    <row r="43" spans="1:10" x14ac:dyDescent="0.3">
      <c r="A43" s="10">
        <v>707767</v>
      </c>
      <c r="B43" s="3" t="s">
        <v>50</v>
      </c>
      <c r="C43" s="3" t="s">
        <v>10</v>
      </c>
      <c r="D43" s="4">
        <v>24635</v>
      </c>
      <c r="E43" s="11">
        <v>31401</v>
      </c>
      <c r="F43" s="6" t="str">
        <f ca="1">IF(TEXT(TODAY(),"MMM")=TEXT(Data[[#This Row],[Date of Birth]],"MMM"),"YES","NO")</f>
        <v>NO</v>
      </c>
      <c r="J43" s="5"/>
    </row>
    <row r="44" spans="1:10" x14ac:dyDescent="0.3">
      <c r="A44" s="10">
        <v>801566</v>
      </c>
      <c r="B44" s="3" t="s">
        <v>51</v>
      </c>
      <c r="C44" s="3" t="s">
        <v>13</v>
      </c>
      <c r="D44" s="4">
        <v>24276</v>
      </c>
      <c r="E44" s="11">
        <v>31415</v>
      </c>
      <c r="F44" s="6" t="str">
        <f ca="1">IF(TEXT(TODAY(),"MMM")=TEXT(Data[[#This Row],[Date of Birth]],"MMM"),"YES","NO")</f>
        <v>NO</v>
      </c>
      <c r="J44" s="5"/>
    </row>
    <row r="45" spans="1:10" x14ac:dyDescent="0.3">
      <c r="A45" s="10">
        <v>817486</v>
      </c>
      <c r="B45" s="3" t="s">
        <v>52</v>
      </c>
      <c r="C45" s="3" t="s">
        <v>13</v>
      </c>
      <c r="D45" s="4">
        <v>25491</v>
      </c>
      <c r="E45" s="11">
        <v>31423</v>
      </c>
      <c r="F45" s="6" t="str">
        <f ca="1">IF(TEXT(TODAY(),"MMM")=TEXT(Data[[#This Row],[Date of Birth]],"MMM"),"YES","NO")</f>
        <v>NO</v>
      </c>
      <c r="H45" s="8" t="s">
        <v>201</v>
      </c>
      <c r="I45" s="8"/>
      <c r="J45" s="8" t="s">
        <v>202</v>
      </c>
    </row>
    <row r="46" spans="1:10" x14ac:dyDescent="0.3">
      <c r="A46" s="10">
        <v>622391</v>
      </c>
      <c r="B46" s="3" t="s">
        <v>53</v>
      </c>
      <c r="C46" s="3" t="s">
        <v>10</v>
      </c>
      <c r="D46" s="4">
        <v>25539</v>
      </c>
      <c r="E46" s="11">
        <v>41611</v>
      </c>
      <c r="F46" s="6" t="str">
        <f ca="1">IF(TEXT(TODAY(),"MMM")=TEXT(Data[[#This Row],[Date of Birth]],"MMM"),"YES","NO")</f>
        <v>NO</v>
      </c>
      <c r="H46">
        <v>1</v>
      </c>
      <c r="I46" t="str">
        <f>INDEX(Data[Emp Name],MATCH(J46,Data[Date of Birth],0))</f>
        <v>Russell D'Ascenzo</v>
      </c>
      <c r="J46" s="5">
        <f>SMALL(Data[Date of Birth],H46)</f>
        <v>19725</v>
      </c>
    </row>
    <row r="47" spans="1:10" x14ac:dyDescent="0.3">
      <c r="A47" s="10">
        <v>749614</v>
      </c>
      <c r="B47" s="3" t="s">
        <v>54</v>
      </c>
      <c r="C47" s="3" t="s">
        <v>15</v>
      </c>
      <c r="D47" s="4">
        <v>25185</v>
      </c>
      <c r="E47" s="11">
        <v>31438</v>
      </c>
      <c r="F47" s="6" t="str">
        <f ca="1">IF(TEXT(TODAY(),"MMM")=TEXT(Data[[#This Row],[Date of Birth]],"MMM"),"YES","NO")</f>
        <v>NO</v>
      </c>
      <c r="H47">
        <v>2</v>
      </c>
      <c r="I47" t="str">
        <f>INDEX(Data[Emp Name],MATCH(J47,Data[Date of Birth],0))</f>
        <v>Matt Hagelstein</v>
      </c>
      <c r="J47" s="5">
        <f>SMALL(Data[Date of Birth],H47)</f>
        <v>20106</v>
      </c>
    </row>
    <row r="48" spans="1:10" x14ac:dyDescent="0.3">
      <c r="A48" s="10">
        <v>624719</v>
      </c>
      <c r="B48" s="3" t="s">
        <v>55</v>
      </c>
      <c r="C48" s="3" t="s">
        <v>12</v>
      </c>
      <c r="D48" s="4">
        <v>23997</v>
      </c>
      <c r="E48" s="11">
        <v>31593</v>
      </c>
      <c r="F48" s="6" t="str">
        <f ca="1">IF(TEXT(TODAY(),"MMM")=TEXT(Data[[#This Row],[Date of Birth]],"MMM"),"YES","NO")</f>
        <v>NO</v>
      </c>
      <c r="H48">
        <v>3</v>
      </c>
      <c r="I48" t="str">
        <f>INDEX(Data[Emp Name],MATCH(J48,Data[Date of Birth],0))</f>
        <v>Ivan Gibson</v>
      </c>
      <c r="J48" s="5">
        <f>SMALL(Data[Date of Birth],H48)</f>
        <v>20454</v>
      </c>
    </row>
    <row r="49" spans="1:10" x14ac:dyDescent="0.3">
      <c r="A49" s="10">
        <v>779841</v>
      </c>
      <c r="B49" s="3" t="s">
        <v>56</v>
      </c>
      <c r="C49" s="3" t="s">
        <v>13</v>
      </c>
      <c r="D49" s="4">
        <v>25425</v>
      </c>
      <c r="E49" s="11">
        <v>31617</v>
      </c>
      <c r="F49" s="6" t="str">
        <f ca="1">IF(TEXT(TODAY(),"MMM")=TEXT(Data[[#This Row],[Date of Birth]],"MMM"),"YES","NO")</f>
        <v>NO</v>
      </c>
      <c r="H49">
        <v>4</v>
      </c>
      <c r="I49" t="str">
        <f>INDEX(Data[Emp Name],MATCH(J49,Data[Date of Birth],0))</f>
        <v>Ross DeVincentis</v>
      </c>
      <c r="J49" s="5">
        <f>SMALL(Data[Date of Birth],H49)</f>
        <v>20775</v>
      </c>
    </row>
    <row r="50" spans="1:10" x14ac:dyDescent="0.3">
      <c r="A50" s="10">
        <v>837844</v>
      </c>
      <c r="B50" s="3" t="s">
        <v>57</v>
      </c>
      <c r="C50" s="3" t="s">
        <v>15</v>
      </c>
      <c r="D50" s="4">
        <v>26190</v>
      </c>
      <c r="E50" s="11">
        <v>31758</v>
      </c>
      <c r="F50" s="6" t="str">
        <f ca="1">IF(TEXT(TODAY(),"MMM")=TEXT(Data[[#This Row],[Date of Birth]],"MMM"),"YES","NO")</f>
        <v>NO</v>
      </c>
      <c r="H50">
        <v>5</v>
      </c>
      <c r="I50" t="str">
        <f>INDEX(Data[Emp Name],MATCH(J50,Data[Date of Birth],0))</f>
        <v>Hunter Glantz</v>
      </c>
      <c r="J50" s="5">
        <f>SMALL(Data[Date of Birth],H50)</f>
        <v>20915</v>
      </c>
    </row>
    <row r="51" spans="1:10" x14ac:dyDescent="0.3">
      <c r="A51" s="10">
        <v>753170</v>
      </c>
      <c r="B51" s="3" t="s">
        <v>58</v>
      </c>
      <c r="C51" s="3" t="s">
        <v>12</v>
      </c>
      <c r="D51" s="4">
        <v>25182</v>
      </c>
      <c r="E51" s="11">
        <v>31814</v>
      </c>
      <c r="F51" s="6" t="str">
        <f ca="1">IF(TEXT(TODAY(),"MMM")=TEXT(Data[[#This Row],[Date of Birth]],"MMM"),"YES","NO")</f>
        <v>NO</v>
      </c>
      <c r="H51">
        <v>6</v>
      </c>
      <c r="I51" t="str">
        <f>INDEX(Data[Emp Name],MATCH(J51,Data[Date of Birth],0))</f>
        <v>Ivan Liston</v>
      </c>
      <c r="J51" s="5">
        <f>SMALL(Data[Date of Birth],H51)</f>
        <v>21179</v>
      </c>
    </row>
    <row r="52" spans="1:10" x14ac:dyDescent="0.3">
      <c r="A52" s="10">
        <v>655433</v>
      </c>
      <c r="B52" s="3" t="s">
        <v>59</v>
      </c>
      <c r="C52" s="3" t="s">
        <v>11</v>
      </c>
      <c r="D52" s="4">
        <v>23708</v>
      </c>
      <c r="E52" s="11">
        <v>31891</v>
      </c>
      <c r="F52" s="6" t="str">
        <f ca="1">IF(TEXT(TODAY(),"MMM")=TEXT(Data[[#This Row],[Date of Birth]],"MMM"),"YES","NO")</f>
        <v>NO</v>
      </c>
      <c r="H52">
        <v>7</v>
      </c>
      <c r="I52" t="str">
        <f>INDEX(Data[Emp Name],MATCH(J52,Data[Date of Birth],0))</f>
        <v>Irene Maddox</v>
      </c>
      <c r="J52" s="5">
        <f>SMALL(Data[Date of Birth],H52)</f>
        <v>21214</v>
      </c>
    </row>
    <row r="53" spans="1:10" x14ac:dyDescent="0.3">
      <c r="A53" s="10">
        <v>669122</v>
      </c>
      <c r="B53" s="3" t="s">
        <v>60</v>
      </c>
      <c r="C53" s="3" t="s">
        <v>15</v>
      </c>
      <c r="D53" s="4">
        <v>20106</v>
      </c>
      <c r="E53" s="11">
        <v>32080</v>
      </c>
      <c r="F53" s="6" t="str">
        <f ca="1">IF(TEXT(TODAY(),"MMM")=TEXT(Data[[#This Row],[Date of Birth]],"MMM"),"YES","NO")</f>
        <v>NO</v>
      </c>
      <c r="H53">
        <v>8</v>
      </c>
      <c r="I53" t="str">
        <f>INDEX(Data[Emp Name],MATCH(J53,Data[Date of Birth],0))</f>
        <v>Dean Braden</v>
      </c>
      <c r="J53" s="5">
        <f>SMALL(Data[Date of Birth],H53)</f>
        <v>21398</v>
      </c>
    </row>
    <row r="54" spans="1:10" x14ac:dyDescent="0.3">
      <c r="A54" s="10">
        <v>773427</v>
      </c>
      <c r="B54" s="3" t="s">
        <v>61</v>
      </c>
      <c r="C54" s="3" t="s">
        <v>15</v>
      </c>
      <c r="D54" s="4">
        <v>23236</v>
      </c>
      <c r="E54" s="11">
        <v>32444</v>
      </c>
      <c r="F54" s="6" t="str">
        <f ca="1">IF(TEXT(TODAY(),"MMM")=TEXT(Data[[#This Row],[Date of Birth]],"MMM"),"YES","NO")</f>
        <v>NO</v>
      </c>
      <c r="H54">
        <v>9</v>
      </c>
      <c r="I54" t="str">
        <f>INDEX(Data[Emp Name],MATCH(J54,Data[Date of Birth],0))</f>
        <v>Jack O'Briant</v>
      </c>
      <c r="J54" s="5">
        <f>SMALL(Data[Date of Birth],H54)</f>
        <v>21524</v>
      </c>
    </row>
    <row r="55" spans="1:10" x14ac:dyDescent="0.3">
      <c r="A55" s="10">
        <v>646283</v>
      </c>
      <c r="B55" s="3" t="s">
        <v>62</v>
      </c>
      <c r="C55" s="3" t="s">
        <v>12</v>
      </c>
      <c r="D55" s="4">
        <v>25892</v>
      </c>
      <c r="E55" s="11">
        <v>32962</v>
      </c>
      <c r="F55" s="6" t="str">
        <f ca="1">IF(TEXT(TODAY(),"MMM")=TEXT(Data[[#This Row],[Date of Birth]],"MMM"),"YES","NO")</f>
        <v>NO</v>
      </c>
      <c r="H55">
        <v>10</v>
      </c>
      <c r="I55" t="str">
        <f>INDEX(Data[Emp Name],MATCH(J55,Data[Date of Birth],0))</f>
        <v>Jamie Kunitz</v>
      </c>
      <c r="J55" s="5">
        <f>SMALL(Data[Date of Birth],H55)</f>
        <v>21807</v>
      </c>
    </row>
    <row r="56" spans="1:10" x14ac:dyDescent="0.3">
      <c r="A56" s="10">
        <v>718778</v>
      </c>
      <c r="B56" s="3" t="s">
        <v>63</v>
      </c>
      <c r="C56" s="3" t="s">
        <v>16</v>
      </c>
      <c r="D56" s="4">
        <v>26940</v>
      </c>
      <c r="E56" s="11">
        <v>33179</v>
      </c>
      <c r="F56" s="6" t="str">
        <f ca="1">IF(TEXT(TODAY(),"MMM")=TEXT(Data[[#This Row],[Date of Birth]],"MMM"),"YES","NO")</f>
        <v>NO</v>
      </c>
      <c r="J56" s="5"/>
    </row>
    <row r="57" spans="1:10" x14ac:dyDescent="0.3">
      <c r="A57" s="10">
        <v>685311</v>
      </c>
      <c r="B57" s="3" t="s">
        <v>64</v>
      </c>
      <c r="C57" s="3" t="s">
        <v>13</v>
      </c>
      <c r="D57" s="4">
        <v>27255</v>
      </c>
      <c r="E57" s="11">
        <v>33494</v>
      </c>
      <c r="F57" s="6" t="str">
        <f ca="1">IF(TEXT(TODAY(),"MMM")=TEXT(Data[[#This Row],[Date of Birth]],"MMM"),"YES","NO")</f>
        <v>NO</v>
      </c>
      <c r="J57" s="5"/>
    </row>
    <row r="58" spans="1:10" x14ac:dyDescent="0.3">
      <c r="A58" s="10">
        <v>840067</v>
      </c>
      <c r="B58" s="3" t="s">
        <v>65</v>
      </c>
      <c r="C58" s="3" t="s">
        <v>11</v>
      </c>
      <c r="D58" s="4">
        <v>27321</v>
      </c>
      <c r="E58" s="11">
        <v>33522</v>
      </c>
      <c r="F58" s="6" t="str">
        <f ca="1">IF(TEXT(TODAY(),"MMM")=TEXT(Data[[#This Row],[Date of Birth]],"MMM"),"YES","NO")</f>
        <v>NO</v>
      </c>
      <c r="J58" s="5"/>
    </row>
    <row r="59" spans="1:10" x14ac:dyDescent="0.3">
      <c r="A59" s="10">
        <v>701146</v>
      </c>
      <c r="B59" s="3" t="s">
        <v>66</v>
      </c>
      <c r="C59" s="3" t="s">
        <v>16</v>
      </c>
      <c r="D59" s="4">
        <v>23414</v>
      </c>
      <c r="E59" s="11">
        <v>33613</v>
      </c>
      <c r="F59" s="6" t="str">
        <f ca="1">IF(TEXT(TODAY(),"MMM")=TEXT(Data[[#This Row],[Date of Birth]],"MMM"),"YES","NO")</f>
        <v>YES</v>
      </c>
      <c r="J59" s="5"/>
    </row>
    <row r="60" spans="1:10" x14ac:dyDescent="0.3">
      <c r="A60" s="10">
        <v>631665</v>
      </c>
      <c r="B60" s="3" t="s">
        <v>67</v>
      </c>
      <c r="C60" s="3" t="s">
        <v>10</v>
      </c>
      <c r="D60" s="4">
        <v>25479</v>
      </c>
      <c r="E60" s="11">
        <v>33893</v>
      </c>
      <c r="F60" s="6" t="str">
        <f ca="1">IF(TEXT(TODAY(),"MMM")=TEXT(Data[[#This Row],[Date of Birth]],"MMM"),"YES","NO")</f>
        <v>NO</v>
      </c>
      <c r="H60" s="8" t="s">
        <v>205</v>
      </c>
      <c r="I60" s="8"/>
      <c r="J60" s="8" t="s">
        <v>206</v>
      </c>
    </row>
    <row r="61" spans="1:10" x14ac:dyDescent="0.3">
      <c r="A61" s="10">
        <v>633397</v>
      </c>
      <c r="B61" s="3" t="s">
        <v>68</v>
      </c>
      <c r="C61" s="3" t="s">
        <v>15</v>
      </c>
      <c r="D61" s="4">
        <v>28374</v>
      </c>
      <c r="E61" s="11">
        <v>33893</v>
      </c>
      <c r="F61" s="6" t="str">
        <f ca="1">IF(TEXT(TODAY(),"MMM")=TEXT(Data[[#This Row],[Date of Birth]],"MMM"),"YES","NO")</f>
        <v>NO</v>
      </c>
      <c r="J61" s="5"/>
    </row>
    <row r="62" spans="1:10" x14ac:dyDescent="0.3">
      <c r="A62" s="10">
        <v>780726</v>
      </c>
      <c r="B62" s="3" t="s">
        <v>69</v>
      </c>
      <c r="C62" s="3" t="s">
        <v>15</v>
      </c>
      <c r="D62" s="4">
        <v>24147</v>
      </c>
      <c r="E62" s="11">
        <v>33921</v>
      </c>
      <c r="F62" s="6" t="str">
        <f ca="1">IF(TEXT(TODAY(),"MMM")=TEXT(Data[[#This Row],[Date of Birth]],"MMM"),"YES","NO")</f>
        <v>YES</v>
      </c>
      <c r="J62" s="5"/>
    </row>
    <row r="63" spans="1:10" x14ac:dyDescent="0.3">
      <c r="A63" s="10">
        <v>715044</v>
      </c>
      <c r="B63" s="3" t="s">
        <v>70</v>
      </c>
      <c r="C63" s="3" t="s">
        <v>10</v>
      </c>
      <c r="D63" s="4">
        <v>26231</v>
      </c>
      <c r="E63" s="11">
        <v>34047</v>
      </c>
      <c r="F63" s="6" t="str">
        <f ca="1">IF(TEXT(TODAY(),"MMM")=TEXT(Data[[#This Row],[Date of Birth]],"MMM"),"YES","NO")</f>
        <v>NO</v>
      </c>
      <c r="J63" s="5"/>
    </row>
    <row r="64" spans="1:10" x14ac:dyDescent="0.3">
      <c r="A64" s="10">
        <v>660239</v>
      </c>
      <c r="B64" s="3" t="s">
        <v>71</v>
      </c>
      <c r="C64" s="3" t="s">
        <v>10</v>
      </c>
      <c r="D64" s="4">
        <v>27735</v>
      </c>
      <c r="E64" s="11">
        <v>34047</v>
      </c>
      <c r="F64" s="6" t="str">
        <f ca="1">IF(TEXT(TODAY(),"MMM")=TEXT(Data[[#This Row],[Date of Birth]],"MMM"),"YES","NO")</f>
        <v>NO</v>
      </c>
      <c r="J64" s="5"/>
    </row>
    <row r="65" spans="1:10" x14ac:dyDescent="0.3">
      <c r="A65" s="10">
        <v>767280</v>
      </c>
      <c r="B65" s="3" t="s">
        <v>72</v>
      </c>
      <c r="C65" s="3" t="s">
        <v>10</v>
      </c>
      <c r="D65" s="4">
        <v>27098</v>
      </c>
      <c r="E65" s="11">
        <v>34719</v>
      </c>
      <c r="F65" s="6" t="str">
        <f ca="1">IF(TEXT(TODAY(),"MMM")=TEXT(Data[[#This Row],[Date of Birth]],"MMM"),"YES","NO")</f>
        <v>NO</v>
      </c>
      <c r="J65" s="5"/>
    </row>
    <row r="66" spans="1:10" x14ac:dyDescent="0.3">
      <c r="A66" s="10">
        <v>634320</v>
      </c>
      <c r="B66" s="3" t="s">
        <v>73</v>
      </c>
      <c r="C66" s="3" t="s">
        <v>16</v>
      </c>
      <c r="D66" s="4">
        <v>28395</v>
      </c>
      <c r="E66" s="11">
        <v>34719</v>
      </c>
      <c r="F66" s="6" t="str">
        <f ca="1">IF(TEXT(TODAY(),"MMM")=TEXT(Data[[#This Row],[Date of Birth]],"MMM"),"YES","NO")</f>
        <v>NO</v>
      </c>
      <c r="J66" s="5"/>
    </row>
    <row r="67" spans="1:10" x14ac:dyDescent="0.3">
      <c r="A67" s="10">
        <v>833590</v>
      </c>
      <c r="B67" s="3" t="s">
        <v>74</v>
      </c>
      <c r="C67" s="3" t="s">
        <v>10</v>
      </c>
      <c r="D67" s="4">
        <v>28217</v>
      </c>
      <c r="E67" s="11">
        <v>35083</v>
      </c>
      <c r="F67" s="6" t="str">
        <f ca="1">IF(TEXT(TODAY(),"MMM")=TEXT(Data[[#This Row],[Date of Birth]],"MMM"),"YES","NO")</f>
        <v>NO</v>
      </c>
      <c r="J67" s="5"/>
    </row>
    <row r="68" spans="1:10" x14ac:dyDescent="0.3">
      <c r="A68" s="10">
        <v>675037</v>
      </c>
      <c r="B68" s="3" t="s">
        <v>75</v>
      </c>
      <c r="C68" s="3" t="s">
        <v>11</v>
      </c>
      <c r="D68" s="4">
        <v>27913</v>
      </c>
      <c r="E68" s="11">
        <v>35083</v>
      </c>
      <c r="F68" s="6" t="str">
        <f ca="1">IF(TEXT(TODAY(),"MMM")=TEXT(Data[[#This Row],[Date of Birth]],"MMM"),"YES","NO")</f>
        <v>NO</v>
      </c>
      <c r="J68" s="5"/>
    </row>
    <row r="69" spans="1:10" x14ac:dyDescent="0.3">
      <c r="A69" s="10">
        <v>757786</v>
      </c>
      <c r="B69" s="3" t="s">
        <v>76</v>
      </c>
      <c r="C69" s="3" t="s">
        <v>16</v>
      </c>
      <c r="D69" s="4">
        <v>29187</v>
      </c>
      <c r="E69" s="11">
        <v>35132</v>
      </c>
      <c r="F69" s="6" t="str">
        <f ca="1">IF(TEXT(TODAY(),"MMM")=TEXT(Data[[#This Row],[Date of Birth]],"MMM"),"YES","NO")</f>
        <v>NO</v>
      </c>
      <c r="J69" s="5"/>
    </row>
    <row r="70" spans="1:10" x14ac:dyDescent="0.3">
      <c r="A70" s="10">
        <v>762734</v>
      </c>
      <c r="B70" s="3" t="s">
        <v>77</v>
      </c>
      <c r="C70" s="3" t="s">
        <v>10</v>
      </c>
      <c r="D70" s="4">
        <v>29357</v>
      </c>
      <c r="E70" s="11">
        <v>35349</v>
      </c>
      <c r="F70" s="6" t="str">
        <f ca="1">IF(TEXT(TODAY(),"MMM")=TEXT(Data[[#This Row],[Date of Birth]],"MMM"),"YES","NO")</f>
        <v>NO</v>
      </c>
      <c r="J70" s="5"/>
    </row>
    <row r="71" spans="1:10" x14ac:dyDescent="0.3">
      <c r="A71" s="10">
        <v>640992</v>
      </c>
      <c r="B71" s="3" t="s">
        <v>78</v>
      </c>
      <c r="C71" s="3" t="s">
        <v>16</v>
      </c>
      <c r="D71" s="4">
        <v>28799</v>
      </c>
      <c r="E71" s="11">
        <v>35356</v>
      </c>
      <c r="F71" s="6" t="str">
        <f ca="1">IF(TEXT(TODAY(),"MMM")=TEXT(Data[[#This Row],[Date of Birth]],"MMM"),"YES","NO")</f>
        <v>NO</v>
      </c>
      <c r="J71" s="5"/>
    </row>
    <row r="72" spans="1:10" x14ac:dyDescent="0.3">
      <c r="A72" s="10">
        <v>677349</v>
      </c>
      <c r="B72" s="3" t="s">
        <v>79</v>
      </c>
      <c r="C72" s="3" t="s">
        <v>13</v>
      </c>
      <c r="D72" s="4">
        <v>27149</v>
      </c>
      <c r="E72" s="11">
        <v>35699</v>
      </c>
      <c r="F72" s="6" t="str">
        <f ca="1">IF(TEXT(TODAY(),"MMM")=TEXT(Data[[#This Row],[Date of Birth]],"MMM"),"YES","NO")</f>
        <v>NO</v>
      </c>
      <c r="J72" s="5"/>
    </row>
    <row r="73" spans="1:10" x14ac:dyDescent="0.3">
      <c r="A73" s="10">
        <v>644319</v>
      </c>
      <c r="B73" s="3" t="s">
        <v>80</v>
      </c>
      <c r="C73" s="3" t="s">
        <v>16</v>
      </c>
      <c r="D73" s="4">
        <v>29583</v>
      </c>
      <c r="E73" s="11">
        <v>36070</v>
      </c>
      <c r="F73" s="6" t="str">
        <f ca="1">IF(TEXT(TODAY(),"MMM")=TEXT(Data[[#This Row],[Date of Birth]],"MMM"),"YES","NO")</f>
        <v>NO</v>
      </c>
      <c r="J73" s="5"/>
    </row>
    <row r="74" spans="1:10" x14ac:dyDescent="0.3">
      <c r="A74" s="10">
        <v>766049</v>
      </c>
      <c r="B74" s="3" t="s">
        <v>81</v>
      </c>
      <c r="C74" s="3" t="s">
        <v>11</v>
      </c>
      <c r="D74" s="4">
        <v>30223</v>
      </c>
      <c r="E74" s="11">
        <v>36905</v>
      </c>
      <c r="F74" s="6" t="str">
        <f ca="1">IF(TEXT(TODAY(),"MMM")=TEXT(Data[[#This Row],[Date of Birth]],"MMM"),"YES","NO")</f>
        <v>NO</v>
      </c>
      <c r="J74" s="5"/>
    </row>
    <row r="75" spans="1:10" x14ac:dyDescent="0.3">
      <c r="A75" s="10">
        <v>716703</v>
      </c>
      <c r="B75" s="3" t="s">
        <v>82</v>
      </c>
      <c r="C75" s="3" t="s">
        <v>13</v>
      </c>
      <c r="D75" s="4">
        <v>31213</v>
      </c>
      <c r="E75" s="11">
        <v>37092</v>
      </c>
      <c r="F75" s="6" t="str">
        <f ca="1">IF(TEXT(TODAY(),"MMM")=TEXT(Data[[#This Row],[Date of Birth]],"MMM"),"YES","NO")</f>
        <v>NO</v>
      </c>
      <c r="H75" s="2" t="s">
        <v>207</v>
      </c>
      <c r="I75" s="2"/>
      <c r="J75" s="20" t="s">
        <v>208</v>
      </c>
    </row>
    <row r="76" spans="1:10" x14ac:dyDescent="0.3">
      <c r="A76" s="10">
        <v>652603</v>
      </c>
      <c r="B76" s="3" t="s">
        <v>83</v>
      </c>
      <c r="C76" s="3" t="s">
        <v>12</v>
      </c>
      <c r="D76" s="4">
        <v>30957</v>
      </c>
      <c r="E76" s="11">
        <v>37290</v>
      </c>
      <c r="F76" s="6" t="str">
        <f ca="1">IF(TEXT(TODAY(),"MMM")=TEXT(Data[[#This Row],[Date of Birth]],"MMM"),"YES","NO")</f>
        <v>NO</v>
      </c>
      <c r="H76" t="str" cm="1">
        <f t="array" aca="1" ref="H76:H90" ca="1">_xlfn._xlws.FILTER(Data[Emp Name],Data[BD]="YES")</f>
        <v>Dianna Wilson</v>
      </c>
      <c r="J76">
        <f ca="1">COUNTIF(Data[BD],"YES")</f>
        <v>15</v>
      </c>
    </row>
    <row r="77" spans="1:10" x14ac:dyDescent="0.3">
      <c r="A77" s="10">
        <v>728401</v>
      </c>
      <c r="B77" s="3" t="s">
        <v>84</v>
      </c>
      <c r="C77" s="3" t="s">
        <v>16</v>
      </c>
      <c r="D77" s="4">
        <v>28435</v>
      </c>
      <c r="E77" s="11">
        <v>38239</v>
      </c>
      <c r="F77" s="6" t="str">
        <f ca="1">IF(TEXT(TODAY(),"MMM")=TEXT(Data[[#This Row],[Date of Birth]],"MMM"),"YES","NO")</f>
        <v>NO</v>
      </c>
      <c r="H77" t="str">
        <f ca="1"/>
        <v>Suzanne McNair</v>
      </c>
      <c r="J77" s="5"/>
    </row>
    <row r="78" spans="1:10" x14ac:dyDescent="0.3">
      <c r="A78" s="10">
        <v>777036</v>
      </c>
      <c r="B78" s="3" t="s">
        <v>85</v>
      </c>
      <c r="C78" s="3" t="s">
        <v>10</v>
      </c>
      <c r="D78" s="4">
        <v>29687</v>
      </c>
      <c r="E78" s="11">
        <v>38412</v>
      </c>
      <c r="F78" s="6" t="str">
        <f ca="1">IF(TEXT(TODAY(),"MMM")=TEXT(Data[[#This Row],[Date of Birth]],"MMM"),"YES","NO")</f>
        <v>NO</v>
      </c>
      <c r="H78" t="str">
        <f ca="1"/>
        <v>Tamara Chand</v>
      </c>
      <c r="J78" s="5"/>
    </row>
    <row r="79" spans="1:10" x14ac:dyDescent="0.3">
      <c r="A79" s="10">
        <v>706249</v>
      </c>
      <c r="B79" s="3" t="s">
        <v>86</v>
      </c>
      <c r="C79" s="3" t="s">
        <v>15</v>
      </c>
      <c r="D79" s="4">
        <v>23585</v>
      </c>
      <c r="E79" s="11">
        <v>39065</v>
      </c>
      <c r="F79" s="6" t="str">
        <f ca="1">IF(TEXT(TODAY(),"MMM")=TEXT(Data[[#This Row],[Date of Birth]],"MMM"),"YES","NO")</f>
        <v>NO</v>
      </c>
      <c r="H79" t="str">
        <f ca="1"/>
        <v>Henry MacAllister</v>
      </c>
      <c r="J79" s="5"/>
    </row>
    <row r="80" spans="1:10" x14ac:dyDescent="0.3">
      <c r="A80" s="10">
        <v>837626</v>
      </c>
      <c r="B80" s="3" t="s">
        <v>87</v>
      </c>
      <c r="C80" s="3" t="s">
        <v>10</v>
      </c>
      <c r="D80" s="4">
        <v>32638</v>
      </c>
      <c r="E80" s="11">
        <v>39171</v>
      </c>
      <c r="F80" s="6" t="str">
        <f ca="1">IF(TEXT(TODAY(),"MMM")=TEXT(Data[[#This Row],[Date of Birth]],"MMM"),"YES","NO")</f>
        <v>NO</v>
      </c>
      <c r="H80" t="str">
        <f ca="1"/>
        <v>Hilary Holden</v>
      </c>
      <c r="J80" s="5"/>
    </row>
    <row r="81" spans="1:10" x14ac:dyDescent="0.3">
      <c r="A81" s="10">
        <v>745916</v>
      </c>
      <c r="B81" s="3" t="s">
        <v>88</v>
      </c>
      <c r="C81" s="3" t="s">
        <v>11</v>
      </c>
      <c r="D81" s="4">
        <v>30491</v>
      </c>
      <c r="E81" s="11">
        <v>39236</v>
      </c>
      <c r="F81" s="6" t="str">
        <f ca="1">IF(TEXT(TODAY(),"MMM")=TEXT(Data[[#This Row],[Date of Birth]],"MMM"),"YES","NO")</f>
        <v>NO</v>
      </c>
      <c r="H81" t="str">
        <f ca="1"/>
        <v>Jack Garza</v>
      </c>
      <c r="J81" s="5"/>
    </row>
    <row r="82" spans="1:10" x14ac:dyDescent="0.3">
      <c r="A82" s="10">
        <v>841887</v>
      </c>
      <c r="B82" s="3" t="s">
        <v>89</v>
      </c>
      <c r="C82" s="3" t="s">
        <v>16</v>
      </c>
      <c r="D82" s="4">
        <v>32708</v>
      </c>
      <c r="E82" s="11">
        <v>39265</v>
      </c>
      <c r="F82" s="6" t="str">
        <f ca="1">IF(TEXT(TODAY(),"MMM")=TEXT(Data[[#This Row],[Date of Birth]],"MMM"),"YES","NO")</f>
        <v>NO</v>
      </c>
      <c r="H82" t="str">
        <f ca="1"/>
        <v>Maurice Satty</v>
      </c>
      <c r="J82" s="5"/>
    </row>
    <row r="83" spans="1:10" x14ac:dyDescent="0.3">
      <c r="A83" s="10">
        <v>753294</v>
      </c>
      <c r="B83" s="3" t="s">
        <v>90</v>
      </c>
      <c r="C83" s="3" t="s">
        <v>12</v>
      </c>
      <c r="D83" s="4">
        <v>33277</v>
      </c>
      <c r="E83" s="11">
        <v>39416</v>
      </c>
      <c r="F83" s="6" t="str">
        <f ca="1">IF(TEXT(TODAY(),"MMM")=TEXT(Data[[#This Row],[Date of Birth]],"MMM"),"YES","NO")</f>
        <v>YES</v>
      </c>
      <c r="H83" t="str">
        <f ca="1"/>
        <v>Max Ludwig</v>
      </c>
      <c r="J83" s="5"/>
    </row>
    <row r="84" spans="1:10" x14ac:dyDescent="0.3">
      <c r="A84" s="10">
        <v>704786</v>
      </c>
      <c r="B84" s="3" t="s">
        <v>91</v>
      </c>
      <c r="C84" s="3" t="s">
        <v>13</v>
      </c>
      <c r="D84" s="4">
        <v>33248</v>
      </c>
      <c r="E84" s="11">
        <v>40063</v>
      </c>
      <c r="F84" s="6" t="str">
        <f ca="1">IF(TEXT(TODAY(),"MMM")=TEXT(Data[[#This Row],[Date of Birth]],"MMM"),"YES","NO")</f>
        <v>NO</v>
      </c>
      <c r="H84" t="str">
        <f ca="1"/>
        <v>Michelle Tran</v>
      </c>
      <c r="J84" s="5"/>
    </row>
    <row r="85" spans="1:10" x14ac:dyDescent="0.3">
      <c r="A85" s="10">
        <v>613639</v>
      </c>
      <c r="B85" s="3" t="s">
        <v>92</v>
      </c>
      <c r="C85" s="3" t="s">
        <v>12</v>
      </c>
      <c r="D85" s="4">
        <v>32889</v>
      </c>
      <c r="E85" s="11">
        <v>40487</v>
      </c>
      <c r="F85" s="6" t="str">
        <f ca="1">IF(TEXT(TODAY(),"MMM")=TEXT(Data[[#This Row],[Date of Birth]],"MMM"),"YES","NO")</f>
        <v>NO</v>
      </c>
      <c r="H85" t="str">
        <f ca="1"/>
        <v>Natalie Fritzler</v>
      </c>
      <c r="J85" s="5"/>
    </row>
    <row r="86" spans="1:10" x14ac:dyDescent="0.3">
      <c r="A86" s="10">
        <v>650629</v>
      </c>
      <c r="B86" s="3" t="s">
        <v>93</v>
      </c>
      <c r="C86" s="3" t="s">
        <v>16</v>
      </c>
      <c r="D86" s="4">
        <v>25783</v>
      </c>
      <c r="E86" s="11">
        <v>40603</v>
      </c>
      <c r="F86" s="6" t="str">
        <f ca="1">IF(TEXT(TODAY(),"MMM")=TEXT(Data[[#This Row],[Date of Birth]],"MMM"),"YES","NO")</f>
        <v>NO</v>
      </c>
      <c r="H86" t="str">
        <f ca="1"/>
        <v>Nick Zandusky</v>
      </c>
      <c r="J86" s="5"/>
    </row>
    <row r="87" spans="1:10" x14ac:dyDescent="0.3">
      <c r="A87" s="10">
        <v>768614</v>
      </c>
      <c r="B87" s="3" t="s">
        <v>94</v>
      </c>
      <c r="C87" s="3" t="s">
        <v>10</v>
      </c>
      <c r="D87" s="4">
        <v>32500</v>
      </c>
      <c r="E87" s="11">
        <v>40613</v>
      </c>
      <c r="F87" s="6" t="str">
        <f ca="1">IF(TEXT(TODAY(),"MMM")=TEXT(Data[[#This Row],[Date of Birth]],"MMM"),"YES","NO")</f>
        <v>NO</v>
      </c>
      <c r="H87" t="str">
        <f ca="1"/>
        <v>Randy Bradley</v>
      </c>
    </row>
    <row r="88" spans="1:10" x14ac:dyDescent="0.3">
      <c r="A88" s="10">
        <v>646103</v>
      </c>
      <c r="B88" s="3" t="s">
        <v>95</v>
      </c>
      <c r="C88" s="3" t="s">
        <v>12</v>
      </c>
      <c r="D88" s="4">
        <v>34609</v>
      </c>
      <c r="E88" s="11">
        <v>40940</v>
      </c>
      <c r="F88" s="6" t="str">
        <f ca="1">IF(TEXT(TODAY(),"MMM")=TEXT(Data[[#This Row],[Date of Birth]],"MMM"),"YES","NO")</f>
        <v>NO</v>
      </c>
      <c r="H88" t="str">
        <f ca="1"/>
        <v>Rick Bensley</v>
      </c>
    </row>
    <row r="89" spans="1:10" x14ac:dyDescent="0.3">
      <c r="A89" s="10">
        <v>783761</v>
      </c>
      <c r="B89" s="3" t="s">
        <v>96</v>
      </c>
      <c r="C89" s="3" t="s">
        <v>15</v>
      </c>
      <c r="D89" s="4">
        <v>34487</v>
      </c>
      <c r="E89" s="11">
        <v>41334</v>
      </c>
      <c r="F89" s="6" t="str">
        <f ca="1">IF(TEXT(TODAY(),"MMM")=TEXT(Data[[#This Row],[Date of Birth]],"MMM"),"YES","NO")</f>
        <v>NO</v>
      </c>
      <c r="H89" t="str">
        <f ca="1"/>
        <v>Roy Collins</v>
      </c>
    </row>
    <row r="90" spans="1:10" x14ac:dyDescent="0.3">
      <c r="A90" s="10">
        <v>634821</v>
      </c>
      <c r="B90" s="3" t="s">
        <v>97</v>
      </c>
      <c r="C90" s="3" t="s">
        <v>11</v>
      </c>
      <c r="D90" s="4">
        <v>35435</v>
      </c>
      <c r="E90" s="11">
        <v>41500</v>
      </c>
      <c r="F90" s="6" t="str">
        <f ca="1">IF(TEXT(TODAY(),"MMM")=TEXT(Data[[#This Row],[Date of Birth]],"MMM"),"YES","NO")</f>
        <v>NO</v>
      </c>
      <c r="H90" t="str">
        <f ca="1"/>
        <v>Vicky Freymann</v>
      </c>
    </row>
    <row r="91" spans="1:10" x14ac:dyDescent="0.3">
      <c r="A91" s="10">
        <v>614225</v>
      </c>
      <c r="B91" s="3" t="s">
        <v>98</v>
      </c>
      <c r="C91" s="3" t="s">
        <v>13</v>
      </c>
      <c r="D91" s="4">
        <v>34236</v>
      </c>
      <c r="E91" s="11">
        <v>41663</v>
      </c>
      <c r="F91" s="6" t="str">
        <f ca="1">IF(TEXT(TODAY(),"MMM")=TEXT(Data[[#This Row],[Date of Birth]],"MMM"),"YES","NO")</f>
        <v>NO</v>
      </c>
    </row>
    <row r="92" spans="1:10" x14ac:dyDescent="0.3">
      <c r="A92" s="10">
        <v>795063</v>
      </c>
      <c r="B92" s="3" t="s">
        <v>99</v>
      </c>
      <c r="C92" s="3" t="s">
        <v>16</v>
      </c>
      <c r="D92" s="4">
        <v>34730</v>
      </c>
      <c r="E92" s="11">
        <v>41705</v>
      </c>
      <c r="F92" s="6" t="str">
        <f ca="1">IF(TEXT(TODAY(),"MMM")=TEXT(Data[[#This Row],[Date of Birth]],"MMM"),"YES","NO")</f>
        <v>NO</v>
      </c>
    </row>
    <row r="93" spans="1:10" x14ac:dyDescent="0.3">
      <c r="A93" s="10">
        <v>682789</v>
      </c>
      <c r="B93" s="3" t="s">
        <v>100</v>
      </c>
      <c r="C93" s="3" t="s">
        <v>16</v>
      </c>
      <c r="D93" s="4">
        <v>34593</v>
      </c>
      <c r="E93" s="11">
        <v>41705</v>
      </c>
      <c r="F93" s="6" t="str">
        <f ca="1">IF(TEXT(TODAY(),"MMM")=TEXT(Data[[#This Row],[Date of Birth]],"MMM"),"YES","NO")</f>
        <v>NO</v>
      </c>
    </row>
    <row r="94" spans="1:10" x14ac:dyDescent="0.3">
      <c r="A94" s="10">
        <v>768339</v>
      </c>
      <c r="B94" s="3" t="s">
        <v>101</v>
      </c>
      <c r="C94" s="3" t="s">
        <v>15</v>
      </c>
      <c r="D94" s="4">
        <v>35273</v>
      </c>
      <c r="E94" s="11">
        <v>41957</v>
      </c>
      <c r="F94" s="6" t="str">
        <f ca="1">IF(TEXT(TODAY(),"MMM")=TEXT(Data[[#This Row],[Date of Birth]],"MMM"),"YES","NO")</f>
        <v>NO</v>
      </c>
    </row>
    <row r="95" spans="1:10" x14ac:dyDescent="0.3">
      <c r="A95" s="10">
        <v>652107</v>
      </c>
      <c r="B95" s="3" t="s">
        <v>102</v>
      </c>
      <c r="C95" s="3" t="s">
        <v>16</v>
      </c>
      <c r="D95" s="4">
        <v>32380</v>
      </c>
      <c r="E95" s="11">
        <v>42186</v>
      </c>
      <c r="F95" s="6" t="str">
        <f ca="1">IF(TEXT(TODAY(),"MMM")=TEXT(Data[[#This Row],[Date of Birth]],"MMM"),"YES","NO")</f>
        <v>NO</v>
      </c>
    </row>
    <row r="96" spans="1:10" x14ac:dyDescent="0.3">
      <c r="A96" s="10">
        <v>796808</v>
      </c>
      <c r="B96" s="3" t="s">
        <v>103</v>
      </c>
      <c r="C96" s="3" t="s">
        <v>11</v>
      </c>
      <c r="D96" s="4">
        <v>36300</v>
      </c>
      <c r="E96" s="11">
        <v>42386</v>
      </c>
      <c r="F96" s="6" t="str">
        <f ca="1">IF(TEXT(TODAY(),"MMM")=TEXT(Data[[#This Row],[Date of Birth]],"MMM"),"YES","NO")</f>
        <v>NO</v>
      </c>
    </row>
    <row r="97" spans="1:10" x14ac:dyDescent="0.3">
      <c r="A97" s="10">
        <v>843427</v>
      </c>
      <c r="B97" s="3" t="s">
        <v>104</v>
      </c>
      <c r="C97" s="3" t="s">
        <v>10</v>
      </c>
      <c r="D97" s="4">
        <v>32052</v>
      </c>
      <c r="E97" s="11">
        <v>42387</v>
      </c>
      <c r="F97" s="6" t="str">
        <f ca="1">IF(TEXT(TODAY(),"MMM")=TEXT(Data[[#This Row],[Date of Birth]],"MMM"),"YES","NO")</f>
        <v>NO</v>
      </c>
    </row>
    <row r="98" spans="1:10" x14ac:dyDescent="0.3">
      <c r="A98" s="10">
        <v>816529</v>
      </c>
      <c r="B98" s="3" t="s">
        <v>105</v>
      </c>
      <c r="C98" s="3" t="s">
        <v>16</v>
      </c>
      <c r="D98" s="4">
        <v>36109</v>
      </c>
      <c r="E98" s="11">
        <v>42395</v>
      </c>
      <c r="F98" s="6" t="str">
        <f ca="1">IF(TEXT(TODAY(),"MMM")=TEXT(Data[[#This Row],[Date of Birth]],"MMM"),"YES","NO")</f>
        <v>NO</v>
      </c>
    </row>
    <row r="99" spans="1:10" x14ac:dyDescent="0.3">
      <c r="A99" s="10">
        <v>682857</v>
      </c>
      <c r="B99" s="3" t="s">
        <v>106</v>
      </c>
      <c r="C99" s="3" t="s">
        <v>16</v>
      </c>
      <c r="D99" s="4">
        <v>36073</v>
      </c>
      <c r="E99" s="11">
        <v>42395</v>
      </c>
      <c r="F99" s="6" t="str">
        <f ca="1">IF(TEXT(TODAY(),"MMM")=TEXT(Data[[#This Row],[Date of Birth]],"MMM"),"YES","NO")</f>
        <v>NO</v>
      </c>
    </row>
    <row r="100" spans="1:10" x14ac:dyDescent="0.3">
      <c r="A100" s="10">
        <v>738532</v>
      </c>
      <c r="B100" s="3" t="s">
        <v>107</v>
      </c>
      <c r="C100" s="3" t="s">
        <v>11</v>
      </c>
      <c r="D100" s="4">
        <v>36139</v>
      </c>
      <c r="E100" s="11">
        <v>42524</v>
      </c>
      <c r="F100" s="6" t="str">
        <f ca="1">IF(TEXT(TODAY(),"MMM")=TEXT(Data[[#This Row],[Date of Birth]],"MMM"),"YES","NO")</f>
        <v>NO</v>
      </c>
    </row>
    <row r="101" spans="1:10" x14ac:dyDescent="0.3">
      <c r="A101" s="10">
        <v>726914</v>
      </c>
      <c r="B101" s="3" t="s">
        <v>108</v>
      </c>
      <c r="C101" s="3" t="s">
        <v>16</v>
      </c>
      <c r="D101" s="4">
        <v>35714</v>
      </c>
      <c r="E101" s="11">
        <v>42556</v>
      </c>
      <c r="F101" s="6" t="str">
        <f ca="1">IF(TEXT(TODAY(),"MMM")=TEXT(Data[[#This Row],[Date of Birth]],"MMM"),"YES","NO")</f>
        <v>NO</v>
      </c>
    </row>
    <row r="102" spans="1:10" x14ac:dyDescent="0.3">
      <c r="A102" s="10">
        <v>817238</v>
      </c>
      <c r="B102" s="3" t="s">
        <v>109</v>
      </c>
      <c r="C102" s="3" t="s">
        <v>13</v>
      </c>
      <c r="D102" s="4">
        <v>36793</v>
      </c>
      <c r="E102" s="11">
        <v>42716</v>
      </c>
      <c r="F102" s="6" t="str">
        <f ca="1">IF(TEXT(TODAY(),"MMM")=TEXT(Data[[#This Row],[Date of Birth]],"MMM"),"YES","NO")</f>
        <v>NO</v>
      </c>
    </row>
    <row r="103" spans="1:10" x14ac:dyDescent="0.3">
      <c r="A103" s="10">
        <v>661311</v>
      </c>
      <c r="B103" s="3" t="s">
        <v>110</v>
      </c>
      <c r="C103" s="3" t="s">
        <v>13</v>
      </c>
      <c r="D103" s="4">
        <v>35697</v>
      </c>
      <c r="E103" s="11">
        <v>42790</v>
      </c>
      <c r="F103" s="6" t="str">
        <f ca="1">IF(TEXT(TODAY(),"MMM")=TEXT(Data[[#This Row],[Date of Birth]],"MMM"),"YES","NO")</f>
        <v>NO</v>
      </c>
    </row>
    <row r="104" spans="1:10" x14ac:dyDescent="0.3">
      <c r="A104" s="10">
        <v>732891</v>
      </c>
      <c r="B104" s="3" t="s">
        <v>111</v>
      </c>
      <c r="C104" s="3" t="s">
        <v>15</v>
      </c>
      <c r="D104" s="4">
        <v>32541</v>
      </c>
      <c r="E104" s="11">
        <v>42888</v>
      </c>
      <c r="F104" s="6" t="str">
        <f ca="1">IF(TEXT(TODAY(),"MMM")=TEXT(Data[[#This Row],[Date of Birth]],"MMM"),"YES","NO")</f>
        <v>YES</v>
      </c>
      <c r="H104" s="2" t="s">
        <v>207</v>
      </c>
      <c r="I104" s="2"/>
      <c r="J104" s="20" t="s">
        <v>208</v>
      </c>
    </row>
    <row r="105" spans="1:10" x14ac:dyDescent="0.3">
      <c r="A105" s="10">
        <v>701071</v>
      </c>
      <c r="B105" s="3" t="s">
        <v>112</v>
      </c>
      <c r="C105" s="3" t="s">
        <v>11</v>
      </c>
      <c r="D105" s="4">
        <v>34296</v>
      </c>
      <c r="E105" s="11">
        <v>42888</v>
      </c>
      <c r="F105" s="6" t="str">
        <f ca="1">IF(TEXT(TODAY(),"MMM")=TEXT(Data[[#This Row],[Date of Birth]],"MMM"),"YES","NO")</f>
        <v>NO</v>
      </c>
      <c r="H105" t="str" cm="1">
        <f t="array" aca="1" ref="H105:H119" ca="1">_xlfn._xlws.FILTER(Data[Emp Name],TEXT(Data[Date of Admission],"MMM")=TEXT(TODAY(),"MMM"))</f>
        <v>Tamara Chand</v>
      </c>
    </row>
    <row r="106" spans="1:10" x14ac:dyDescent="0.3">
      <c r="A106" s="10">
        <v>634770</v>
      </c>
      <c r="B106" s="3" t="s">
        <v>113</v>
      </c>
      <c r="C106" s="3" t="s">
        <v>13</v>
      </c>
      <c r="D106" s="4">
        <v>23102</v>
      </c>
      <c r="E106" s="11">
        <v>42902</v>
      </c>
      <c r="F106" s="6" t="str">
        <f ca="1">IF(TEXT(TODAY(),"MMM")=TEXT(Data[[#This Row],[Date of Birth]],"MMM"),"YES","NO")</f>
        <v>NO</v>
      </c>
      <c r="H106" t="str">
        <f ca="1"/>
        <v>Jane Waco</v>
      </c>
    </row>
    <row r="107" spans="1:10" x14ac:dyDescent="0.3">
      <c r="A107" s="10">
        <v>831093</v>
      </c>
      <c r="B107" s="3" t="s">
        <v>114</v>
      </c>
      <c r="C107" s="3" t="s">
        <v>13</v>
      </c>
      <c r="D107" s="4">
        <v>34857</v>
      </c>
      <c r="E107" s="11">
        <v>43071</v>
      </c>
      <c r="F107" s="6" t="str">
        <f ca="1">IF(TEXT(TODAY(),"MMM")=TEXT(Data[[#This Row],[Date of Birth]],"MMM"),"YES","NO")</f>
        <v>NO</v>
      </c>
      <c r="H107" t="str">
        <f ca="1"/>
        <v>Matt Collister</v>
      </c>
    </row>
    <row r="108" spans="1:10" x14ac:dyDescent="0.3">
      <c r="A108" s="10">
        <v>747420</v>
      </c>
      <c r="B108" s="3" t="s">
        <v>115</v>
      </c>
      <c r="C108" s="3" t="s">
        <v>10</v>
      </c>
      <c r="D108" s="4">
        <v>36511</v>
      </c>
      <c r="E108" s="11">
        <v>43161</v>
      </c>
      <c r="F108" s="6" t="str">
        <f ca="1">IF(TEXT(TODAY(),"MMM")=TEXT(Data[[#This Row],[Date of Birth]],"MMM"),"YES","NO")</f>
        <v>NO</v>
      </c>
      <c r="H108" t="str">
        <f ca="1"/>
        <v>Michael Paige</v>
      </c>
    </row>
    <row r="109" spans="1:10" x14ac:dyDescent="0.3">
      <c r="A109" s="10">
        <v>662023</v>
      </c>
      <c r="B109" s="3" t="s">
        <v>116</v>
      </c>
      <c r="C109" s="3" t="s">
        <v>11</v>
      </c>
      <c r="D109" s="4">
        <v>36823</v>
      </c>
      <c r="E109" s="11">
        <v>43161</v>
      </c>
      <c r="F109" s="6" t="str">
        <f ca="1">IF(TEXT(TODAY(),"MMM")=TEXT(Data[[#This Row],[Date of Birth]],"MMM"),"YES","NO")</f>
        <v>NO</v>
      </c>
      <c r="H109" t="str">
        <f ca="1"/>
        <v>Mike Gockenbach</v>
      </c>
    </row>
    <row r="110" spans="1:10" x14ac:dyDescent="0.3">
      <c r="A110" s="10">
        <v>832824</v>
      </c>
      <c r="B110" s="3" t="s">
        <v>117</v>
      </c>
      <c r="C110" s="3" t="s">
        <v>10</v>
      </c>
      <c r="D110" s="4">
        <v>36735</v>
      </c>
      <c r="E110" s="11">
        <v>43175</v>
      </c>
      <c r="F110" s="6" t="str">
        <f ca="1">IF(TEXT(TODAY(),"MMM")=TEXT(Data[[#This Row],[Date of Birth]],"MMM"),"YES","NO")</f>
        <v>NO</v>
      </c>
      <c r="H110" t="str">
        <f ca="1"/>
        <v>Natalie DeCherney</v>
      </c>
    </row>
    <row r="111" spans="1:10" x14ac:dyDescent="0.3">
      <c r="A111" s="10">
        <v>722642</v>
      </c>
      <c r="B111" s="3" t="s">
        <v>118</v>
      </c>
      <c r="C111" s="3" t="s">
        <v>12</v>
      </c>
      <c r="D111" s="4">
        <v>36520</v>
      </c>
      <c r="E111" s="11">
        <v>43193</v>
      </c>
      <c r="F111" s="6" t="str">
        <f ca="1">IF(TEXT(TODAY(),"MMM")=TEXT(Data[[#This Row],[Date of Birth]],"MMM"),"YES","NO")</f>
        <v>NO</v>
      </c>
      <c r="H111" t="str">
        <f ca="1"/>
        <v>Nick Zandusky</v>
      </c>
    </row>
    <row r="112" spans="1:10" x14ac:dyDescent="0.3">
      <c r="A112" s="10">
        <v>624789</v>
      </c>
      <c r="B112" s="3" t="s">
        <v>119</v>
      </c>
      <c r="C112" s="3" t="s">
        <v>15</v>
      </c>
      <c r="D112" s="4">
        <v>29313</v>
      </c>
      <c r="E112" s="11">
        <v>43231</v>
      </c>
      <c r="F112" s="6" t="str">
        <f ca="1">IF(TEXT(TODAY(),"MMM")=TEXT(Data[[#This Row],[Date of Birth]],"MMM"),"YES","NO")</f>
        <v>NO</v>
      </c>
      <c r="H112" t="str">
        <f ca="1"/>
        <v>Nicole Brennan</v>
      </c>
    </row>
    <row r="113" spans="1:8" x14ac:dyDescent="0.3">
      <c r="A113" s="10">
        <v>810455</v>
      </c>
      <c r="B113" s="3" t="s">
        <v>120</v>
      </c>
      <c r="C113" s="3" t="s">
        <v>16</v>
      </c>
      <c r="D113" s="4">
        <v>36531</v>
      </c>
      <c r="E113" s="11">
        <v>43238</v>
      </c>
      <c r="F113" s="6" t="str">
        <f ca="1">IF(TEXT(TODAY(),"MMM")=TEXT(Data[[#This Row],[Date of Birth]],"MMM"),"YES","NO")</f>
        <v>NO</v>
      </c>
      <c r="H113" t="str">
        <f ca="1"/>
        <v>Richard Eichhorn</v>
      </c>
    </row>
    <row r="114" spans="1:8" x14ac:dyDescent="0.3">
      <c r="A114" s="10">
        <v>811265</v>
      </c>
      <c r="B114" s="3" t="s">
        <v>121</v>
      </c>
      <c r="C114" s="3" t="s">
        <v>13</v>
      </c>
      <c r="D114" s="4">
        <v>35190</v>
      </c>
      <c r="E114" s="11">
        <v>43238</v>
      </c>
      <c r="F114" s="6" t="str">
        <f ca="1">IF(TEXT(TODAY(),"MMM")=TEXT(Data[[#This Row],[Date of Birth]],"MMM"),"YES","NO")</f>
        <v>NO</v>
      </c>
      <c r="H114" t="str">
        <f ca="1"/>
        <v>Rick Duston</v>
      </c>
    </row>
    <row r="115" spans="1:8" x14ac:dyDescent="0.3">
      <c r="A115" s="10">
        <v>725950</v>
      </c>
      <c r="B115" s="3" t="s">
        <v>122</v>
      </c>
      <c r="C115" s="3" t="s">
        <v>11</v>
      </c>
      <c r="D115" s="4">
        <v>36749</v>
      </c>
      <c r="E115" s="11">
        <v>43285</v>
      </c>
      <c r="F115" s="6" t="str">
        <f ca="1">IF(TEXT(TODAY(),"MMM")=TEXT(Data[[#This Row],[Date of Birth]],"MMM"),"YES","NO")</f>
        <v>NO</v>
      </c>
      <c r="H115" t="str">
        <f ca="1"/>
        <v>Robert Barroso</v>
      </c>
    </row>
    <row r="116" spans="1:8" x14ac:dyDescent="0.3">
      <c r="A116" s="10">
        <v>787011</v>
      </c>
      <c r="B116" s="3" t="s">
        <v>123</v>
      </c>
      <c r="C116" s="3" t="s">
        <v>16</v>
      </c>
      <c r="D116" s="4">
        <v>37289</v>
      </c>
      <c r="E116" s="11">
        <v>43520</v>
      </c>
      <c r="F116" s="6" t="str">
        <f ca="1">IF(TEXT(TODAY(),"MMM")=TEXT(Data[[#This Row],[Date of Birth]],"MMM"),"YES","NO")</f>
        <v>YES</v>
      </c>
      <c r="H116" t="str">
        <f ca="1"/>
        <v>Ryan Crowe</v>
      </c>
    </row>
    <row r="117" spans="1:8" x14ac:dyDescent="0.3">
      <c r="A117" s="10">
        <v>615996</v>
      </c>
      <c r="B117" s="3" t="s">
        <v>124</v>
      </c>
      <c r="C117" s="3" t="s">
        <v>10</v>
      </c>
      <c r="D117" s="4">
        <v>36423</v>
      </c>
      <c r="E117" s="11">
        <v>43520</v>
      </c>
      <c r="F117" s="6" t="str">
        <f ca="1">IF(TEXT(TODAY(),"MMM")=TEXT(Data[[#This Row],[Date of Birth]],"MMM"),"YES","NO")</f>
        <v>NO</v>
      </c>
      <c r="H117" t="str">
        <f ca="1"/>
        <v>Valerie Dominguez</v>
      </c>
    </row>
    <row r="118" spans="1:8" x14ac:dyDescent="0.3">
      <c r="A118" s="10">
        <v>682515</v>
      </c>
      <c r="B118" s="3" t="s">
        <v>125</v>
      </c>
      <c r="C118" s="3" t="s">
        <v>15</v>
      </c>
      <c r="D118" s="4">
        <v>33604</v>
      </c>
      <c r="E118" s="11">
        <v>43542</v>
      </c>
      <c r="F118" s="6" t="str">
        <f ca="1">IF(TEXT(TODAY(),"MMM")=TEXT(Data[[#This Row],[Date of Birth]],"MMM"),"YES","NO")</f>
        <v>NO</v>
      </c>
      <c r="H118" t="str">
        <f ca="1"/>
        <v>Valerie Mitchum</v>
      </c>
    </row>
    <row r="119" spans="1:8" x14ac:dyDescent="0.3">
      <c r="A119" s="10">
        <v>704760</v>
      </c>
      <c r="B119" s="3" t="s">
        <v>126</v>
      </c>
      <c r="C119" s="3" t="s">
        <v>12</v>
      </c>
      <c r="D119" s="4">
        <v>25476</v>
      </c>
      <c r="E119" s="11">
        <v>43545</v>
      </c>
      <c r="F119" s="6" t="str">
        <f ca="1">IF(TEXT(TODAY(),"MMM")=TEXT(Data[[#This Row],[Date of Birth]],"MMM"),"YES","NO")</f>
        <v>NO</v>
      </c>
      <c r="H119" t="str">
        <f ca="1"/>
        <v>Valerie Takahito</v>
      </c>
    </row>
    <row r="120" spans="1:8" x14ac:dyDescent="0.3">
      <c r="A120" s="10">
        <v>847781</v>
      </c>
      <c r="B120" s="3" t="s">
        <v>127</v>
      </c>
      <c r="C120" s="3" t="s">
        <v>15</v>
      </c>
      <c r="D120" s="4">
        <v>34706</v>
      </c>
      <c r="E120" s="11">
        <v>43565</v>
      </c>
      <c r="F120" s="6" t="str">
        <f ca="1">IF(TEXT(TODAY(),"MMM")=TEXT(Data[[#This Row],[Date of Birth]],"MMM"),"YES","NO")</f>
        <v>NO</v>
      </c>
    </row>
    <row r="121" spans="1:8" x14ac:dyDescent="0.3">
      <c r="A121" s="10">
        <v>696828</v>
      </c>
      <c r="B121" s="3" t="s">
        <v>128</v>
      </c>
      <c r="C121" s="3" t="s">
        <v>12</v>
      </c>
      <c r="D121" s="4">
        <v>36288</v>
      </c>
      <c r="E121" s="11">
        <v>43579</v>
      </c>
      <c r="F121" s="6" t="str">
        <f ca="1">IF(TEXT(TODAY(),"MMM")=TEXT(Data[[#This Row],[Date of Birth]],"MMM"),"YES","NO")</f>
        <v>NO</v>
      </c>
    </row>
    <row r="122" spans="1:8" x14ac:dyDescent="0.3">
      <c r="A122" s="10">
        <v>634517</v>
      </c>
      <c r="B122" s="3" t="s">
        <v>129</v>
      </c>
      <c r="C122" s="3" t="s">
        <v>13</v>
      </c>
      <c r="D122" s="4">
        <v>25189</v>
      </c>
      <c r="E122" s="11">
        <v>43591</v>
      </c>
      <c r="F122" s="6" t="str">
        <f ca="1">IF(TEXT(TODAY(),"MMM")=TEXT(Data[[#This Row],[Date of Birth]],"MMM"),"YES","NO")</f>
        <v>NO</v>
      </c>
    </row>
    <row r="123" spans="1:8" x14ac:dyDescent="0.3">
      <c r="A123" s="10">
        <v>742296</v>
      </c>
      <c r="B123" s="3" t="s">
        <v>130</v>
      </c>
      <c r="C123" s="3" t="s">
        <v>12</v>
      </c>
      <c r="D123" s="4">
        <v>36199</v>
      </c>
      <c r="E123" s="11">
        <v>43595</v>
      </c>
      <c r="F123" s="6" t="str">
        <f ca="1">IF(TEXT(TODAY(),"MMM")=TEXT(Data[[#This Row],[Date of Birth]],"MMM"),"YES","NO")</f>
        <v>YES</v>
      </c>
    </row>
    <row r="124" spans="1:8" x14ac:dyDescent="0.3">
      <c r="A124" s="10">
        <v>802572</v>
      </c>
      <c r="B124" s="3" t="s">
        <v>131</v>
      </c>
      <c r="C124" s="3" t="s">
        <v>15</v>
      </c>
      <c r="D124" s="4">
        <v>35544</v>
      </c>
      <c r="E124" s="11">
        <v>43684</v>
      </c>
      <c r="F124" s="6" t="str">
        <f ca="1">IF(TEXT(TODAY(),"MMM")=TEXT(Data[[#This Row],[Date of Birth]],"MMM"),"YES","NO")</f>
        <v>NO</v>
      </c>
    </row>
    <row r="125" spans="1:8" x14ac:dyDescent="0.3">
      <c r="A125" s="10">
        <v>621423</v>
      </c>
      <c r="B125" s="3" t="s">
        <v>132</v>
      </c>
      <c r="C125" s="3" t="s">
        <v>13</v>
      </c>
      <c r="D125" s="4">
        <v>37144</v>
      </c>
      <c r="E125" s="11">
        <v>43703</v>
      </c>
      <c r="F125" s="6" t="str">
        <f ca="1">IF(TEXT(TODAY(),"MMM")=TEXT(Data[[#This Row],[Date of Birth]],"MMM"),"YES","NO")</f>
        <v>NO</v>
      </c>
    </row>
    <row r="126" spans="1:8" x14ac:dyDescent="0.3">
      <c r="A126" s="10">
        <v>763904</v>
      </c>
      <c r="B126" s="3" t="s">
        <v>133</v>
      </c>
      <c r="C126" s="3" t="s">
        <v>16</v>
      </c>
      <c r="D126" s="4">
        <v>35670</v>
      </c>
      <c r="E126" s="11">
        <v>43834</v>
      </c>
      <c r="F126" s="6" t="str">
        <f ca="1">IF(TEXT(TODAY(),"MMM")=TEXT(Data[[#This Row],[Date of Birth]],"MMM"),"YES","NO")</f>
        <v>NO</v>
      </c>
    </row>
    <row r="127" spans="1:8" x14ac:dyDescent="0.3">
      <c r="A127" s="10">
        <v>748868</v>
      </c>
      <c r="B127" s="3" t="s">
        <v>134</v>
      </c>
      <c r="C127" s="3" t="s">
        <v>12</v>
      </c>
      <c r="D127" s="4">
        <v>35583</v>
      </c>
      <c r="E127" s="11">
        <v>43843</v>
      </c>
      <c r="F127" s="6" t="str">
        <f ca="1">IF(TEXT(TODAY(),"MMM")=TEXT(Data[[#This Row],[Date of Birth]],"MMM"),"YES","NO")</f>
        <v>NO</v>
      </c>
    </row>
    <row r="128" spans="1:8" x14ac:dyDescent="0.3">
      <c r="A128" s="10">
        <v>681871</v>
      </c>
      <c r="B128" s="3" t="s">
        <v>135</v>
      </c>
      <c r="C128" s="3" t="s">
        <v>13</v>
      </c>
      <c r="D128" s="4">
        <v>37559</v>
      </c>
      <c r="E128" s="11">
        <v>43853</v>
      </c>
      <c r="F128" s="6" t="str">
        <f ca="1">IF(TEXT(TODAY(),"MMM")=TEXT(Data[[#This Row],[Date of Birth]],"MMM"),"YES","NO")</f>
        <v>NO</v>
      </c>
    </row>
    <row r="129" spans="1:6" x14ac:dyDescent="0.3">
      <c r="A129" s="10">
        <v>632210</v>
      </c>
      <c r="B129" s="3" t="s">
        <v>136</v>
      </c>
      <c r="C129" s="3" t="s">
        <v>13</v>
      </c>
      <c r="D129" s="4">
        <v>36044</v>
      </c>
      <c r="E129" s="11">
        <v>43853</v>
      </c>
      <c r="F129" s="6" t="str">
        <f ca="1">IF(TEXT(TODAY(),"MMM")=TEXT(Data[[#This Row],[Date of Birth]],"MMM"),"YES","NO")</f>
        <v>NO</v>
      </c>
    </row>
    <row r="130" spans="1:6" x14ac:dyDescent="0.3">
      <c r="A130" s="10">
        <v>749547</v>
      </c>
      <c r="B130" s="3" t="s">
        <v>137</v>
      </c>
      <c r="C130" s="3" t="s">
        <v>15</v>
      </c>
      <c r="D130" s="4">
        <v>35688</v>
      </c>
      <c r="E130" s="11">
        <v>43861</v>
      </c>
      <c r="F130" s="6" t="str">
        <f ca="1">IF(TEXT(TODAY(),"MMM")=TEXT(Data[[#This Row],[Date of Birth]],"MMM"),"YES","NO")</f>
        <v>NO</v>
      </c>
    </row>
    <row r="131" spans="1:6" x14ac:dyDescent="0.3">
      <c r="A131" s="10">
        <v>834708</v>
      </c>
      <c r="B131" s="3" t="s">
        <v>138</v>
      </c>
      <c r="C131" s="3" t="s">
        <v>11</v>
      </c>
      <c r="D131" s="4">
        <v>36898</v>
      </c>
      <c r="E131" s="11">
        <v>43888</v>
      </c>
      <c r="F131" s="6" t="str">
        <f ca="1">IF(TEXT(TODAY(),"MMM")=TEXT(Data[[#This Row],[Date of Birth]],"MMM"),"YES","NO")</f>
        <v>NO</v>
      </c>
    </row>
    <row r="132" spans="1:6" x14ac:dyDescent="0.3">
      <c r="A132" s="10">
        <v>817357</v>
      </c>
      <c r="B132" s="3" t="s">
        <v>139</v>
      </c>
      <c r="C132" s="3" t="s">
        <v>13</v>
      </c>
      <c r="D132" s="4">
        <v>37312</v>
      </c>
      <c r="E132" s="11">
        <v>43897</v>
      </c>
      <c r="F132" s="6" t="str">
        <f ca="1">IF(TEXT(TODAY(),"MMM")=TEXT(Data[[#This Row],[Date of Birth]],"MMM"),"YES","NO")</f>
        <v>YES</v>
      </c>
    </row>
    <row r="133" spans="1:6" x14ac:dyDescent="0.3">
      <c r="A133" s="10">
        <v>730799</v>
      </c>
      <c r="B133" s="3" t="s">
        <v>140</v>
      </c>
      <c r="C133" s="3" t="s">
        <v>16</v>
      </c>
      <c r="D133" s="4">
        <v>34916</v>
      </c>
      <c r="E133" s="11">
        <v>44241</v>
      </c>
      <c r="F133" s="6" t="str">
        <f ca="1">IF(TEXT(TODAY(),"MMM")=TEXT(Data[[#This Row],[Date of Birth]],"MMM"),"YES","NO")</f>
        <v>NO</v>
      </c>
    </row>
    <row r="134" spans="1:6" x14ac:dyDescent="0.3">
      <c r="A134" s="10">
        <v>693063</v>
      </c>
      <c r="B134" s="3" t="s">
        <v>141</v>
      </c>
      <c r="C134" s="3" t="s">
        <v>11</v>
      </c>
      <c r="D134" s="4">
        <v>37750</v>
      </c>
      <c r="E134" s="11">
        <v>44268</v>
      </c>
      <c r="F134" s="6" t="str">
        <f ca="1">IF(TEXT(TODAY(),"MMM")=TEXT(Data[[#This Row],[Date of Birth]],"MMM"),"YES","NO")</f>
        <v>NO</v>
      </c>
    </row>
    <row r="135" spans="1:6" x14ac:dyDescent="0.3">
      <c r="A135" s="10">
        <v>634332</v>
      </c>
      <c r="B135" s="3" t="s">
        <v>142</v>
      </c>
      <c r="C135" s="3" t="s">
        <v>13</v>
      </c>
      <c r="D135" s="4">
        <v>37630</v>
      </c>
      <c r="E135" s="11">
        <v>44279</v>
      </c>
      <c r="F135" s="6" t="str">
        <f ca="1">IF(TEXT(TODAY(),"MMM")=TEXT(Data[[#This Row],[Date of Birth]],"MMM"),"YES","NO")</f>
        <v>NO</v>
      </c>
    </row>
    <row r="136" spans="1:6" x14ac:dyDescent="0.3">
      <c r="A136" s="10">
        <v>778171</v>
      </c>
      <c r="B136" s="3" t="s">
        <v>143</v>
      </c>
      <c r="C136" s="3" t="s">
        <v>10</v>
      </c>
      <c r="D136" s="4">
        <v>37703</v>
      </c>
      <c r="E136" s="11">
        <v>44312</v>
      </c>
      <c r="F136" s="6" t="str">
        <f ca="1">IF(TEXT(TODAY(),"MMM")=TEXT(Data[[#This Row],[Date of Birth]],"MMM"),"YES","NO")</f>
        <v>NO</v>
      </c>
    </row>
    <row r="137" spans="1:6" x14ac:dyDescent="0.3">
      <c r="A137" s="10">
        <v>651333</v>
      </c>
      <c r="B137" s="3" t="s">
        <v>144</v>
      </c>
      <c r="C137" s="3" t="s">
        <v>12</v>
      </c>
      <c r="D137" s="4">
        <v>23120</v>
      </c>
      <c r="E137" s="11">
        <v>44348</v>
      </c>
      <c r="F137" s="6" t="str">
        <f ca="1">IF(TEXT(TODAY(),"MMM")=TEXT(Data[[#This Row],[Date of Birth]],"MMM"),"YES","NO")</f>
        <v>NO</v>
      </c>
    </row>
    <row r="138" spans="1:6" x14ac:dyDescent="0.3">
      <c r="A138" s="10">
        <v>667971</v>
      </c>
      <c r="B138" s="3" t="s">
        <v>145</v>
      </c>
      <c r="C138" s="3" t="s">
        <v>16</v>
      </c>
      <c r="D138" s="4">
        <v>28710</v>
      </c>
      <c r="E138" s="11">
        <v>44378</v>
      </c>
      <c r="F138" s="6" t="str">
        <f ca="1">IF(TEXT(TODAY(),"MMM")=TEXT(Data[[#This Row],[Date of Birth]],"MMM"),"YES","NO")</f>
        <v>NO</v>
      </c>
    </row>
    <row r="139" spans="1:6" x14ac:dyDescent="0.3">
      <c r="A139" s="10">
        <v>837894</v>
      </c>
      <c r="B139" s="3" t="s">
        <v>146</v>
      </c>
      <c r="C139" s="3" t="s">
        <v>10</v>
      </c>
      <c r="D139" s="4">
        <v>37849</v>
      </c>
      <c r="E139" s="11">
        <v>44456</v>
      </c>
      <c r="F139" s="6" t="str">
        <f ca="1">IF(TEXT(TODAY(),"MMM")=TEXT(Data[[#This Row],[Date of Birth]],"MMM"),"YES","NO")</f>
        <v>NO</v>
      </c>
    </row>
    <row r="140" spans="1:6" x14ac:dyDescent="0.3">
      <c r="A140" s="10">
        <v>716958</v>
      </c>
      <c r="B140" s="3" t="s">
        <v>147</v>
      </c>
      <c r="C140" s="3" t="s">
        <v>16</v>
      </c>
      <c r="D140" s="4">
        <v>37397</v>
      </c>
      <c r="E140" s="11">
        <v>44491</v>
      </c>
      <c r="F140" s="6" t="str">
        <f ca="1">IF(TEXT(TODAY(),"MMM")=TEXT(Data[[#This Row],[Date of Birth]],"MMM"),"YES","NO")</f>
        <v>NO</v>
      </c>
    </row>
    <row r="141" spans="1:6" x14ac:dyDescent="0.3">
      <c r="A141" s="10">
        <v>747513</v>
      </c>
      <c r="B141" s="3" t="s">
        <v>148</v>
      </c>
      <c r="C141" s="3" t="s">
        <v>13</v>
      </c>
      <c r="D141" s="4">
        <v>26762</v>
      </c>
      <c r="E141" s="11">
        <v>44518</v>
      </c>
      <c r="F141" s="6" t="str">
        <f ca="1">IF(TEXT(TODAY(),"MMM")=TEXT(Data[[#This Row],[Date of Birth]],"MMM"),"YES","NO")</f>
        <v>NO</v>
      </c>
    </row>
    <row r="142" spans="1:6" x14ac:dyDescent="0.3">
      <c r="A142" s="10">
        <v>736335</v>
      </c>
      <c r="B142" s="3" t="s">
        <v>149</v>
      </c>
      <c r="C142" s="3" t="s">
        <v>13</v>
      </c>
      <c r="D142" s="4">
        <v>37682</v>
      </c>
      <c r="E142" s="11">
        <v>44525</v>
      </c>
      <c r="F142" s="6" t="str">
        <f ca="1">IF(TEXT(TODAY(),"MMM")=TEXT(Data[[#This Row],[Date of Birth]],"MMM"),"YES","NO")</f>
        <v>NO</v>
      </c>
    </row>
    <row r="143" spans="1:6" x14ac:dyDescent="0.3">
      <c r="A143" s="10">
        <v>796788</v>
      </c>
      <c r="B143" s="3" t="s">
        <v>150</v>
      </c>
      <c r="C143" s="3" t="s">
        <v>13</v>
      </c>
      <c r="D143" s="4">
        <v>36512</v>
      </c>
      <c r="E143" s="11">
        <v>44541</v>
      </c>
      <c r="F143" s="6" t="str">
        <f ca="1">IF(TEXT(TODAY(),"MMM")=TEXT(Data[[#This Row],[Date of Birth]],"MMM"),"YES","NO")</f>
        <v>NO</v>
      </c>
    </row>
    <row r="144" spans="1:6" x14ac:dyDescent="0.3">
      <c r="A144" s="10">
        <v>637345</v>
      </c>
      <c r="B144" s="3" t="s">
        <v>151</v>
      </c>
      <c r="C144" s="3" t="s">
        <v>12</v>
      </c>
      <c r="D144" s="4">
        <v>37581</v>
      </c>
      <c r="E144" s="11">
        <v>44610</v>
      </c>
      <c r="F144" s="6" t="str">
        <f ca="1">IF(TEXT(TODAY(),"MMM")=TEXT(Data[[#This Row],[Date of Birth]],"MMM"),"YES","NO")</f>
        <v>NO</v>
      </c>
    </row>
    <row r="145" spans="1:6" x14ac:dyDescent="0.3">
      <c r="A145" s="10">
        <v>760692</v>
      </c>
      <c r="B145" s="3" t="s">
        <v>152</v>
      </c>
      <c r="C145" s="3" t="s">
        <v>15</v>
      </c>
      <c r="D145" s="4">
        <v>38301</v>
      </c>
      <c r="E145" s="11">
        <v>44626</v>
      </c>
      <c r="F145" s="6" t="str">
        <f ca="1">IF(TEXT(TODAY(),"MMM")=TEXT(Data[[#This Row],[Date of Birth]],"MMM"),"YES","NO")</f>
        <v>NO</v>
      </c>
    </row>
    <row r="146" spans="1:6" x14ac:dyDescent="0.3">
      <c r="A146" s="10">
        <v>778839</v>
      </c>
      <c r="B146" s="3" t="s">
        <v>153</v>
      </c>
      <c r="C146" s="3" t="s">
        <v>10</v>
      </c>
      <c r="D146" s="4">
        <v>37839</v>
      </c>
      <c r="E146" s="11">
        <v>44626</v>
      </c>
      <c r="F146" s="6" t="str">
        <f ca="1">IF(TEXT(TODAY(),"MMM")=TEXT(Data[[#This Row],[Date of Birth]],"MMM"),"YES","NO")</f>
        <v>NO</v>
      </c>
    </row>
    <row r="147" spans="1:6" x14ac:dyDescent="0.3">
      <c r="A147" s="10">
        <v>616908</v>
      </c>
      <c r="B147" s="3" t="s">
        <v>154</v>
      </c>
      <c r="C147" s="3" t="s">
        <v>11</v>
      </c>
      <c r="D147" s="4">
        <v>37924</v>
      </c>
      <c r="E147" s="11">
        <v>44626</v>
      </c>
      <c r="F147" s="6" t="str">
        <f ca="1">IF(TEXT(TODAY(),"MMM")=TEXT(Data[[#This Row],[Date of Birth]],"MMM"),"YES","NO")</f>
        <v>NO</v>
      </c>
    </row>
    <row r="148" spans="1:6" x14ac:dyDescent="0.3">
      <c r="A148" s="10">
        <v>634844</v>
      </c>
      <c r="B148" s="3" t="s">
        <v>155</v>
      </c>
      <c r="C148" s="3" t="s">
        <v>13</v>
      </c>
      <c r="D148" s="4">
        <v>37998</v>
      </c>
      <c r="E148" s="11">
        <v>44626</v>
      </c>
      <c r="F148" s="6" t="str">
        <f ca="1">IF(TEXT(TODAY(),"MMM")=TEXT(Data[[#This Row],[Date of Birth]],"MMM"),"YES","NO")</f>
        <v>NO</v>
      </c>
    </row>
    <row r="149" spans="1:6" x14ac:dyDescent="0.3">
      <c r="A149" s="10">
        <v>772907</v>
      </c>
      <c r="B149" s="3" t="s">
        <v>156</v>
      </c>
      <c r="C149" s="3" t="s">
        <v>12</v>
      </c>
      <c r="D149" s="4">
        <v>36398</v>
      </c>
      <c r="E149" s="11">
        <v>44634</v>
      </c>
      <c r="F149" s="6" t="str">
        <f ca="1">IF(TEXT(TODAY(),"MMM")=TEXT(Data[[#This Row],[Date of Birth]],"MMM"),"YES","NO")</f>
        <v>NO</v>
      </c>
    </row>
    <row r="150" spans="1:6" x14ac:dyDescent="0.3">
      <c r="A150" s="10">
        <v>724515</v>
      </c>
      <c r="B150" s="3" t="s">
        <v>157</v>
      </c>
      <c r="C150" s="3" t="s">
        <v>16</v>
      </c>
      <c r="D150" s="4">
        <v>37960</v>
      </c>
      <c r="E150" s="11">
        <v>44634</v>
      </c>
      <c r="F150" s="6" t="str">
        <f ca="1">IF(TEXT(TODAY(),"MMM")=TEXT(Data[[#This Row],[Date of Birth]],"MMM"),"YES","NO")</f>
        <v>NO</v>
      </c>
    </row>
    <row r="151" spans="1:6" x14ac:dyDescent="0.3">
      <c r="A151" s="10">
        <v>763589</v>
      </c>
      <c r="B151" s="3" t="s">
        <v>158</v>
      </c>
      <c r="C151" s="3" t="s">
        <v>10</v>
      </c>
      <c r="D151" s="4">
        <v>38621</v>
      </c>
      <c r="E151" s="11">
        <v>44634</v>
      </c>
      <c r="F151" s="6" t="str">
        <f ca="1">IF(TEXT(TODAY(),"MMM")=TEXT(Data[[#This Row],[Date of Birth]],"MMM"),"YES","NO")</f>
        <v>NO</v>
      </c>
    </row>
    <row r="152" spans="1:6" x14ac:dyDescent="0.3">
      <c r="A152" s="10">
        <v>658864</v>
      </c>
      <c r="B152" s="3" t="s">
        <v>159</v>
      </c>
      <c r="C152" s="3" t="s">
        <v>10</v>
      </c>
      <c r="D152" s="4">
        <v>38557</v>
      </c>
      <c r="E152" s="11">
        <v>44634</v>
      </c>
      <c r="F152" s="6" t="str">
        <f ca="1">IF(TEXT(TODAY(),"MMM")=TEXT(Data[[#This Row],[Date of Birth]],"MMM"),"YES","NO")</f>
        <v>NO</v>
      </c>
    </row>
    <row r="153" spans="1:6" x14ac:dyDescent="0.3">
      <c r="A153" s="10">
        <v>729275</v>
      </c>
      <c r="B153" s="3" t="s">
        <v>160</v>
      </c>
      <c r="C153" s="3" t="s">
        <v>10</v>
      </c>
      <c r="D153" s="4">
        <v>36989</v>
      </c>
      <c r="E153" s="11">
        <v>44689</v>
      </c>
      <c r="F153" s="6" t="str">
        <f ca="1">IF(TEXT(TODAY(),"MMM")=TEXT(Data[[#This Row],[Date of Birth]],"MMM"),"YES","NO")</f>
        <v>NO</v>
      </c>
    </row>
    <row r="154" spans="1:6" x14ac:dyDescent="0.3">
      <c r="A154" s="10">
        <v>647100</v>
      </c>
      <c r="B154" s="3" t="s">
        <v>161</v>
      </c>
      <c r="C154" s="3" t="s">
        <v>10</v>
      </c>
      <c r="D154" s="4">
        <v>38532</v>
      </c>
      <c r="E154" s="11">
        <v>44701</v>
      </c>
      <c r="F154" s="6" t="str">
        <f ca="1">IF(TEXT(TODAY(),"MMM")=TEXT(Data[[#This Row],[Date of Birth]],"MMM"),"YES","NO")</f>
        <v>NO</v>
      </c>
    </row>
    <row r="155" spans="1:6" x14ac:dyDescent="0.3">
      <c r="A155" s="10">
        <v>822775</v>
      </c>
      <c r="B155" s="3" t="s">
        <v>162</v>
      </c>
      <c r="C155" s="3" t="s">
        <v>13</v>
      </c>
      <c r="D155" s="4">
        <v>20775</v>
      </c>
      <c r="E155" s="11">
        <v>44702</v>
      </c>
      <c r="F155" s="6" t="str">
        <f ca="1">IF(TEXT(TODAY(),"MMM")=TEXT(Data[[#This Row],[Date of Birth]],"MMM"),"YES","NO")</f>
        <v>NO</v>
      </c>
    </row>
    <row r="156" spans="1:6" x14ac:dyDescent="0.3">
      <c r="A156" s="10">
        <v>742179</v>
      </c>
      <c r="B156" s="3" t="s">
        <v>163</v>
      </c>
      <c r="C156" s="3" t="s">
        <v>12</v>
      </c>
      <c r="D156" s="4">
        <v>37311</v>
      </c>
      <c r="E156" s="11">
        <v>44743</v>
      </c>
      <c r="F156" s="6" t="str">
        <f ca="1">IF(TEXT(TODAY(),"MMM")=TEXT(Data[[#This Row],[Date of Birth]],"MMM"),"YES","NO")</f>
        <v>YES</v>
      </c>
    </row>
    <row r="157" spans="1:6" x14ac:dyDescent="0.3">
      <c r="A157" s="10">
        <v>654559</v>
      </c>
      <c r="B157" s="3" t="s">
        <v>164</v>
      </c>
      <c r="C157" s="3" t="s">
        <v>10</v>
      </c>
      <c r="D157" s="4">
        <v>31441</v>
      </c>
      <c r="E157" s="11">
        <v>44799</v>
      </c>
      <c r="F157" s="6" t="str">
        <f ca="1">IF(TEXT(TODAY(),"MMM")=TEXT(Data[[#This Row],[Date of Birth]],"MMM"),"YES","NO")</f>
        <v>NO</v>
      </c>
    </row>
    <row r="158" spans="1:6" x14ac:dyDescent="0.3">
      <c r="A158" s="10">
        <v>849457</v>
      </c>
      <c r="B158" s="3" t="s">
        <v>165</v>
      </c>
      <c r="C158" s="3" t="s">
        <v>12</v>
      </c>
      <c r="D158" s="4">
        <v>38548</v>
      </c>
      <c r="E158" s="11">
        <v>44823</v>
      </c>
      <c r="F158" s="6" t="str">
        <f ca="1">IF(TEXT(TODAY(),"MMM")=TEXT(Data[[#This Row],[Date of Birth]],"MMM"),"YES","NO")</f>
        <v>NO</v>
      </c>
    </row>
    <row r="159" spans="1:6" x14ac:dyDescent="0.3">
      <c r="A159" s="10">
        <v>771779</v>
      </c>
      <c r="B159" s="3" t="s">
        <v>166</v>
      </c>
      <c r="C159" s="3" t="s">
        <v>16</v>
      </c>
      <c r="D159" s="4">
        <v>34719</v>
      </c>
      <c r="E159" s="11">
        <v>44833</v>
      </c>
      <c r="F159" s="6" t="str">
        <f ca="1">IF(TEXT(TODAY(),"MMM")=TEXT(Data[[#This Row],[Date of Birth]],"MMM"),"YES","NO")</f>
        <v>NO</v>
      </c>
    </row>
    <row r="160" spans="1:6" x14ac:dyDescent="0.3">
      <c r="A160" s="10">
        <v>804242</v>
      </c>
      <c r="B160" s="3" t="s">
        <v>167</v>
      </c>
      <c r="C160" s="3" t="s">
        <v>16</v>
      </c>
      <c r="D160" s="4">
        <v>37537</v>
      </c>
      <c r="E160" s="11">
        <v>44841</v>
      </c>
      <c r="F160" s="6" t="str">
        <f ca="1">IF(TEXT(TODAY(),"MMM")=TEXT(Data[[#This Row],[Date of Birth]],"MMM"),"YES","NO")</f>
        <v>NO</v>
      </c>
    </row>
    <row r="161" spans="1:6" x14ac:dyDescent="0.3">
      <c r="A161" s="10">
        <v>750616</v>
      </c>
      <c r="B161" s="3" t="s">
        <v>168</v>
      </c>
      <c r="C161" s="3" t="s">
        <v>15</v>
      </c>
      <c r="D161" s="4">
        <v>37155</v>
      </c>
      <c r="E161" s="11">
        <v>44896</v>
      </c>
      <c r="F161" s="6" t="str">
        <f ca="1">IF(TEXT(TODAY(),"MMM")=TEXT(Data[[#This Row],[Date of Birth]],"MMM"),"YES","NO")</f>
        <v>NO</v>
      </c>
    </row>
    <row r="162" spans="1:6" x14ac:dyDescent="0.3">
      <c r="A162" s="10">
        <v>812452</v>
      </c>
      <c r="B162" s="3" t="s">
        <v>169</v>
      </c>
      <c r="C162" s="3" t="s">
        <v>13</v>
      </c>
      <c r="D162" s="4">
        <v>38372</v>
      </c>
      <c r="E162" s="11">
        <v>44908</v>
      </c>
      <c r="F162" s="6" t="str">
        <f ca="1">IF(TEXT(TODAY(),"MMM")=TEXT(Data[[#This Row],[Date of Birth]],"MMM"),"YES","NO")</f>
        <v>NO</v>
      </c>
    </row>
    <row r="163" spans="1:6" x14ac:dyDescent="0.3">
      <c r="A163" s="10">
        <v>831582</v>
      </c>
      <c r="B163" s="3" t="s">
        <v>170</v>
      </c>
      <c r="C163" s="3" t="s">
        <v>10</v>
      </c>
      <c r="D163" s="4">
        <v>19725</v>
      </c>
      <c r="E163" s="11">
        <v>44939</v>
      </c>
      <c r="F163" s="6" t="str">
        <f ca="1">IF(TEXT(TODAY(),"MMM")=TEXT(Data[[#This Row],[Date of Birth]],"MMM"),"YES","NO")</f>
        <v>NO</v>
      </c>
    </row>
    <row r="164" spans="1:6" x14ac:dyDescent="0.3">
      <c r="A164" s="10">
        <v>673556</v>
      </c>
      <c r="B164" s="3" t="s">
        <v>171</v>
      </c>
      <c r="C164" s="3" t="s">
        <v>13</v>
      </c>
      <c r="D164" s="4">
        <v>37879</v>
      </c>
      <c r="E164" s="11">
        <v>44944</v>
      </c>
      <c r="F164" s="6" t="str">
        <f ca="1">IF(TEXT(TODAY(),"MMM")=TEXT(Data[[#This Row],[Date of Birth]],"MMM"),"YES","NO")</f>
        <v>NO</v>
      </c>
    </row>
    <row r="165" spans="1:6" x14ac:dyDescent="0.3">
      <c r="A165" s="10">
        <v>674968</v>
      </c>
      <c r="B165" s="3" t="s">
        <v>172</v>
      </c>
      <c r="C165" s="3" t="s">
        <v>15</v>
      </c>
      <c r="D165" s="4">
        <v>37915</v>
      </c>
      <c r="E165" s="11">
        <v>44974</v>
      </c>
      <c r="F165" s="6" t="str">
        <f ca="1">IF(TEXT(TODAY(),"MMM")=TEXT(Data[[#This Row],[Date of Birth]],"MMM"),"YES","NO")</f>
        <v>NO</v>
      </c>
    </row>
    <row r="166" spans="1:6" x14ac:dyDescent="0.3">
      <c r="A166" s="10">
        <v>686386</v>
      </c>
      <c r="B166" s="3" t="s">
        <v>181</v>
      </c>
      <c r="C166" s="3" t="s">
        <v>11</v>
      </c>
      <c r="D166" s="4">
        <v>38362</v>
      </c>
      <c r="E166" s="11">
        <v>44976</v>
      </c>
      <c r="F166" s="6" t="str">
        <f ca="1">IF(TEXT(TODAY(),"MMM")=TEXT(Data[[#This Row],[Date of Birth]],"MMM"),"YES","NO")</f>
        <v>NO</v>
      </c>
    </row>
    <row r="167" spans="1:6" x14ac:dyDescent="0.3">
      <c r="A167" s="10">
        <v>682990</v>
      </c>
      <c r="B167" s="3" t="s">
        <v>182</v>
      </c>
      <c r="C167" s="3" t="s">
        <v>12</v>
      </c>
      <c r="D167" s="4">
        <v>36543</v>
      </c>
      <c r="E167" s="11">
        <v>44976</v>
      </c>
      <c r="F167" s="6" t="str">
        <f ca="1">IF(TEXT(TODAY(),"MMM")=TEXT(Data[[#This Row],[Date of Birth]],"MMM"),"YES","NO")</f>
        <v>NO</v>
      </c>
    </row>
    <row r="168" spans="1:6" x14ac:dyDescent="0.3">
      <c r="A168" s="10">
        <v>726397</v>
      </c>
      <c r="B168" s="3" t="s">
        <v>183</v>
      </c>
      <c r="C168" s="3" t="s">
        <v>11</v>
      </c>
      <c r="D168" s="4">
        <v>38241</v>
      </c>
      <c r="E168" s="11">
        <v>44976</v>
      </c>
      <c r="F168" s="6" t="str">
        <f ca="1">IF(TEXT(TODAY(),"MMM")=TEXT(Data[[#This Row],[Date of Birth]],"MMM"),"YES","NO")</f>
        <v>NO</v>
      </c>
    </row>
    <row r="169" spans="1:6" x14ac:dyDescent="0.3">
      <c r="A169" s="10">
        <v>732402</v>
      </c>
      <c r="B169" s="3" t="s">
        <v>184</v>
      </c>
      <c r="C169" s="3" t="s">
        <v>15</v>
      </c>
      <c r="D169" s="4">
        <v>38773</v>
      </c>
      <c r="E169" s="11">
        <v>44995</v>
      </c>
      <c r="F169" s="6" t="str">
        <f ca="1">IF(TEXT(TODAY(),"MMM")=TEXT(Data[[#This Row],[Date of Birth]],"MMM"),"YES","NO")</f>
        <v>YES</v>
      </c>
    </row>
    <row r="170" spans="1:6" x14ac:dyDescent="0.3">
      <c r="A170" s="10">
        <v>636730</v>
      </c>
      <c r="B170" s="3" t="s">
        <v>185</v>
      </c>
      <c r="C170" s="3" t="s">
        <v>16</v>
      </c>
      <c r="D170" s="4">
        <v>37225</v>
      </c>
      <c r="E170" s="11">
        <v>45002</v>
      </c>
      <c r="F170" s="6" t="str">
        <f ca="1">IF(TEXT(TODAY(),"MMM")=TEXT(Data[[#This Row],[Date of Birth]],"MMM"),"YES","NO")</f>
        <v>NO</v>
      </c>
    </row>
    <row r="171" spans="1:6" x14ac:dyDescent="0.3">
      <c r="A171" s="10">
        <v>818442</v>
      </c>
      <c r="B171" s="3" t="s">
        <v>186</v>
      </c>
      <c r="C171" s="3" t="s">
        <v>16</v>
      </c>
      <c r="D171" s="4">
        <v>38079</v>
      </c>
      <c r="E171" s="11">
        <v>45037</v>
      </c>
      <c r="F171" s="6" t="str">
        <f ca="1">IF(TEXT(TODAY(),"MMM")=TEXT(Data[[#This Row],[Date of Birth]],"MMM"),"YES","NO")</f>
        <v>NO</v>
      </c>
    </row>
    <row r="172" spans="1:6" x14ac:dyDescent="0.3">
      <c r="A172" s="10">
        <v>634539</v>
      </c>
      <c r="B172" s="3" t="s">
        <v>187</v>
      </c>
      <c r="C172" s="3" t="s">
        <v>17</v>
      </c>
      <c r="D172" s="4">
        <v>35990</v>
      </c>
      <c r="E172" s="11">
        <v>45030</v>
      </c>
      <c r="F172" s="6" t="str">
        <f ca="1">IF(TEXT(TODAY(),"MMM")=TEXT(Data[[#This Row],[Date of Birth]],"MMM"),"YES","NO")</f>
        <v>NO</v>
      </c>
    </row>
    <row r="173" spans="1:6" x14ac:dyDescent="0.3">
      <c r="A173" s="10">
        <v>663573</v>
      </c>
      <c r="B173" s="3" t="s">
        <v>188</v>
      </c>
      <c r="C173" s="3" t="s">
        <v>11</v>
      </c>
      <c r="D173" s="4">
        <v>30855</v>
      </c>
      <c r="E173" s="11">
        <v>45038</v>
      </c>
      <c r="F173" s="6" t="str">
        <f ca="1">IF(TEXT(TODAY(),"MMM")=TEXT(Data[[#This Row],[Date of Birth]],"MMM"),"YES","NO")</f>
        <v>NO</v>
      </c>
    </row>
    <row r="174" spans="1:6" x14ac:dyDescent="0.3">
      <c r="A174" s="10">
        <v>761270</v>
      </c>
      <c r="B174" s="3" t="s">
        <v>189</v>
      </c>
      <c r="C174" s="3" t="s">
        <v>11</v>
      </c>
      <c r="D174" s="4">
        <v>26146</v>
      </c>
      <c r="E174" s="11">
        <v>45041</v>
      </c>
      <c r="F174" s="6" t="str">
        <f ca="1">IF(TEXT(TODAY(),"MMM")=TEXT(Data[[#This Row],[Date of Birth]],"MMM"),"YES","NO")</f>
        <v>NO</v>
      </c>
    </row>
    <row r="175" spans="1:6" x14ac:dyDescent="0.3">
      <c r="A175" s="10">
        <v>625932</v>
      </c>
      <c r="B175" s="3" t="s">
        <v>190</v>
      </c>
      <c r="C175" s="3" t="s">
        <v>10</v>
      </c>
      <c r="D175" s="4">
        <v>25948</v>
      </c>
      <c r="E175" s="11">
        <v>45041</v>
      </c>
      <c r="F175" s="6" t="str">
        <f ca="1">IF(TEXT(TODAY(),"MMM")=TEXT(Data[[#This Row],[Date of Birth]],"MMM"),"YES","NO")</f>
        <v>NO</v>
      </c>
    </row>
    <row r="176" spans="1:6" x14ac:dyDescent="0.3">
      <c r="A176" s="10">
        <v>846932</v>
      </c>
      <c r="B176" s="3" t="s">
        <v>191</v>
      </c>
      <c r="C176" s="3" t="s">
        <v>15</v>
      </c>
      <c r="D176" s="4">
        <v>35816</v>
      </c>
      <c r="E176" s="11">
        <v>45067</v>
      </c>
      <c r="F176" s="6" t="str">
        <f ca="1">IF(TEXT(TODAY(),"MMM")=TEXT(Data[[#This Row],[Date of Birth]],"MMM"),"YES","NO")</f>
        <v>NO</v>
      </c>
    </row>
    <row r="177" spans="1:6" x14ac:dyDescent="0.3">
      <c r="A177" s="10">
        <v>721677</v>
      </c>
      <c r="B177" s="3" t="s">
        <v>192</v>
      </c>
      <c r="C177" s="3" t="s">
        <v>17</v>
      </c>
      <c r="D177" s="4">
        <v>36144</v>
      </c>
      <c r="E177" s="11">
        <v>45096</v>
      </c>
      <c r="F177" s="6" t="str">
        <f ca="1">IF(TEXT(TODAY(),"MMM")=TEXT(Data[[#This Row],[Date of Birth]],"MMM"),"YES","NO")</f>
        <v>NO</v>
      </c>
    </row>
    <row r="178" spans="1:6" x14ac:dyDescent="0.3">
      <c r="A178" s="10">
        <v>631456</v>
      </c>
      <c r="B178" s="3" t="s">
        <v>193</v>
      </c>
      <c r="C178" s="3" t="s">
        <v>13</v>
      </c>
      <c r="D178" s="4">
        <v>37607</v>
      </c>
      <c r="E178" s="11">
        <v>45097</v>
      </c>
      <c r="F178" s="6" t="str">
        <f ca="1">IF(TEXT(TODAY(),"MMM")=TEXT(Data[[#This Row],[Date of Birth]],"MMM"),"YES","NO")</f>
        <v>NO</v>
      </c>
    </row>
    <row r="179" spans="1:6" x14ac:dyDescent="0.3">
      <c r="A179" s="10">
        <v>704181</v>
      </c>
      <c r="B179" s="3" t="s">
        <v>194</v>
      </c>
      <c r="C179" s="3" t="s">
        <v>17</v>
      </c>
      <c r="D179" s="4">
        <v>36186</v>
      </c>
      <c r="E179" s="11">
        <v>45094</v>
      </c>
      <c r="F179" s="6" t="str">
        <f ca="1">IF(TEXT(TODAY(),"MMM")=TEXT(Data[[#This Row],[Date of Birth]],"MMM"),"YES","NO")</f>
        <v>NO</v>
      </c>
    </row>
    <row r="180" spans="1:6" x14ac:dyDescent="0.3">
      <c r="A180" s="10">
        <v>685127</v>
      </c>
      <c r="B180" s="3" t="s">
        <v>195</v>
      </c>
      <c r="C180" s="3" t="s">
        <v>11</v>
      </c>
      <c r="D180" s="4">
        <v>28004</v>
      </c>
      <c r="E180" s="11">
        <v>45113</v>
      </c>
      <c r="F180" s="6" t="str">
        <f ca="1">IF(TEXT(TODAY(),"MMM")=TEXT(Data[[#This Row],[Date of Birth]],"MMM"),"YES","NO")</f>
        <v>NO</v>
      </c>
    </row>
    <row r="181" spans="1:6" x14ac:dyDescent="0.3">
      <c r="A181" s="10">
        <v>849364</v>
      </c>
      <c r="B181" s="3" t="s">
        <v>196</v>
      </c>
      <c r="C181" s="3" t="s">
        <v>17</v>
      </c>
      <c r="D181" s="4">
        <v>34916</v>
      </c>
      <c r="E181" s="11">
        <v>45128</v>
      </c>
      <c r="F181" s="6" t="str">
        <f ca="1">IF(TEXT(TODAY(),"MMM")=TEXT(Data[[#This Row],[Date of Birth]],"MMM"),"YES","NO")</f>
        <v>NO</v>
      </c>
    </row>
    <row r="182" spans="1:6" x14ac:dyDescent="0.3">
      <c r="A182" s="10">
        <v>713656</v>
      </c>
      <c r="B182" s="3" t="s">
        <v>25</v>
      </c>
      <c r="C182" s="3" t="s">
        <v>17</v>
      </c>
      <c r="D182" s="4">
        <v>38449</v>
      </c>
      <c r="E182" s="11">
        <v>45163</v>
      </c>
      <c r="F182" s="6" t="str">
        <f ca="1">IF(TEXT(TODAY(),"MMM")=TEXT(Data[[#This Row],[Date of Birth]],"MMM"),"YES","NO")</f>
        <v>NO</v>
      </c>
    </row>
    <row r="183" spans="1:6" x14ac:dyDescent="0.3">
      <c r="A183" s="10">
        <v>633738</v>
      </c>
      <c r="B183" s="3" t="s">
        <v>26</v>
      </c>
      <c r="C183" s="3" t="s">
        <v>15</v>
      </c>
      <c r="D183" s="4">
        <v>38577</v>
      </c>
      <c r="E183" s="11">
        <v>45189</v>
      </c>
      <c r="F183" s="6" t="str">
        <f ca="1">IF(TEXT(TODAY(),"MMM")=TEXT(Data[[#This Row],[Date of Birth]],"MMM"),"YES","NO")</f>
        <v>NO</v>
      </c>
    </row>
    <row r="184" spans="1:6" x14ac:dyDescent="0.3">
      <c r="A184" s="10">
        <v>686672</v>
      </c>
      <c r="B184" s="3" t="s">
        <v>27</v>
      </c>
      <c r="C184" s="3" t="s">
        <v>12</v>
      </c>
      <c r="D184" s="4">
        <v>36891</v>
      </c>
      <c r="E184" s="11">
        <v>45196</v>
      </c>
      <c r="F184" s="6" t="str">
        <f ca="1">IF(TEXT(TODAY(),"MMM")=TEXT(Data[[#This Row],[Date of Birth]],"MMM"),"YES","NO")</f>
        <v>NO</v>
      </c>
    </row>
    <row r="185" spans="1:6" x14ac:dyDescent="0.3">
      <c r="A185" s="10">
        <v>682136</v>
      </c>
      <c r="B185" s="3" t="s">
        <v>28</v>
      </c>
      <c r="C185" s="3" t="s">
        <v>11</v>
      </c>
      <c r="D185" s="4">
        <v>21398</v>
      </c>
      <c r="E185" s="11">
        <v>45201</v>
      </c>
      <c r="F185" s="6" t="str">
        <f ca="1">IF(TEXT(TODAY(),"MMM")=TEXT(Data[[#This Row],[Date of Birth]],"MMM"),"YES","NO")</f>
        <v>NO</v>
      </c>
    </row>
    <row r="186" spans="1:6" x14ac:dyDescent="0.3">
      <c r="A186" s="15">
        <v>705052</v>
      </c>
      <c r="B186" s="16" t="s">
        <v>29</v>
      </c>
      <c r="C186" s="16" t="s">
        <v>11</v>
      </c>
      <c r="D186" s="17">
        <v>37119</v>
      </c>
      <c r="E186" s="18">
        <v>45215</v>
      </c>
      <c r="F186" s="6" t="str">
        <f ca="1">IF(TEXT(TODAY(),"MMM")=TEXT(Data[[#This Row],[Date of Birth]],"MMM"),"YES","NO")</f>
        <v>NO</v>
      </c>
    </row>
  </sheetData>
  <conditionalFormatting sqref="A6:A186">
    <cfRule type="duplicateValues" dxfId="1" priority="3"/>
  </conditionalFormatting>
  <conditionalFormatting sqref="B6:B186">
    <cfRule type="duplicateValues" dxfId="0" priority="5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Basement -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 Zulfiqar Ali</dc:creator>
  <cp:lastModifiedBy>jitender sarswat</cp:lastModifiedBy>
  <dcterms:created xsi:type="dcterms:W3CDTF">2024-01-10T15:57:33Z</dcterms:created>
  <dcterms:modified xsi:type="dcterms:W3CDTF">2026-02-16T02:41:11Z</dcterms:modified>
</cp:coreProperties>
</file>