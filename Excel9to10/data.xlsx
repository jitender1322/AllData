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llData\Excel9to10\"/>
    </mc:Choice>
  </mc:AlternateContent>
  <xr:revisionPtr revIDLastSave="0" documentId="13_ncr:1_{15BFA526-4588-4688-A0DF-458ED7279DA5}" xr6:coauthVersionLast="47" xr6:coauthVersionMax="47" xr10:uidLastSave="{00000000-0000-0000-0000-000000000000}"/>
  <bookViews>
    <workbookView xWindow="-120" yWindow="-120" windowWidth="29040" windowHeight="15720" xr2:uid="{A926CD0A-2EC9-4639-B6BF-DF3120631196}"/>
  </bookViews>
  <sheets>
    <sheet name="Dashboard" sheetId="6" r:id="rId1"/>
    <sheet name="Sheet4" sheetId="4" r:id="rId2"/>
    <sheet name="Sheet5" sheetId="5" r:id="rId3"/>
    <sheet name="Sheet3" sheetId="7" r:id="rId4"/>
    <sheet name="Sheet1" sheetId="1" r:id="rId5"/>
    <sheet name="RegionVsSales" sheetId="3" r:id="rId6"/>
    <sheet name="UnitSoldBySalesPerson" sheetId="2" r:id="rId7"/>
  </sheets>
  <definedNames>
    <definedName name="NativeTimeline_Date">#N/A</definedName>
    <definedName name="Slicer_Product">#N/A</definedName>
  </definedNames>
  <calcPr calcId="191029"/>
  <pivotCaches>
    <pivotCache cacheId="3" r:id="rId8"/>
    <pivotCache cacheId="1" r:id="rId9"/>
    <pivotCache cacheId="2" r:id="rId10"/>
    <pivotCache cacheId="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2" i="1"/>
</calcChain>
</file>

<file path=xl/sharedStrings.xml><?xml version="1.0" encoding="utf-8"?>
<sst xmlns="http://schemas.openxmlformats.org/spreadsheetml/2006/main" count="248" uniqueCount="29">
  <si>
    <t>Date</t>
  </si>
  <si>
    <t>Region</t>
  </si>
  <si>
    <t>Product</t>
  </si>
  <si>
    <t>Salesperson</t>
  </si>
  <si>
    <t>Units_Sold</t>
  </si>
  <si>
    <t>Unit_Price</t>
  </si>
  <si>
    <t>Total_Sale</t>
  </si>
  <si>
    <t>North</t>
  </si>
  <si>
    <t>South</t>
  </si>
  <si>
    <t>Laptop</t>
  </si>
  <si>
    <t>West</t>
  </si>
  <si>
    <t>Mobile</t>
  </si>
  <si>
    <t>East</t>
  </si>
  <si>
    <t>Tablet</t>
  </si>
  <si>
    <t>Lina</t>
  </si>
  <si>
    <t>Headphones</t>
  </si>
  <si>
    <t>Riya</t>
  </si>
  <si>
    <t>Camera</t>
  </si>
  <si>
    <t>Sara</t>
  </si>
  <si>
    <t>Amit</t>
  </si>
  <si>
    <t>David</t>
  </si>
  <si>
    <t>John</t>
  </si>
  <si>
    <t>Row Labels</t>
  </si>
  <si>
    <t>Grand Total</t>
  </si>
  <si>
    <t>Sum of Units_Sold</t>
  </si>
  <si>
    <t>Column Labels</t>
  </si>
  <si>
    <t>Sum of Total_Sale</t>
  </si>
  <si>
    <t>DASHBOARD</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</si>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</sst>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tint="0.249977111117893"/>
      <name val="Arial Rounded MT Bold"/>
      <family val="2"/>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0" fillId="0" borderId="1" xfId="0" applyBorder="1"/>
    <xf numFmtId="14" fontId="0" fillId="0" borderId="1" xfId="0" applyNumberFormat="1" applyBorder="1"/>
    <xf numFmtId="22" fontId="0" fillId="0" borderId="0" xfId="0" applyNumberFormat="1"/>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2" borderId="0" xfId="0" applyFont="1" applyFill="1" applyAlignment="1">
      <alignment horizontal="center" vertical="center"/>
    </xf>
    <xf numFmtId="0" fontId="0" fillId="0" borderId="2" xfId="0" applyFill="1" applyBorder="1"/>
  </cellXfs>
  <cellStyles count="1">
    <cellStyle name="Normal" xfId="0" builtinId="0"/>
  </cellStyles>
  <dxfs count="1">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[data.xlsx]Sheet4!PivotTable4</c:name>
    <c:fmtId val="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8F-4607-ADC0-DCB1911AFA6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8F-4607-ADC0-DCB1911AFA6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8F-4607-ADC0-DCB1911AFA6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88F-4607-ADC0-DCB1911AFA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East</c:v>
                </c:pt>
                <c:pt idx="1">
                  <c:v>North</c:v>
                </c:pt>
                <c:pt idx="2">
                  <c:v>South</c:v>
                </c:pt>
                <c:pt idx="3">
                  <c:v>West</c:v>
                </c:pt>
              </c:strCache>
            </c:strRef>
          </c:cat>
          <c:val>
            <c:numRef>
              <c:f>Sheet4!$B$4:$B$8</c:f>
              <c:numCache>
                <c:formatCode>General</c:formatCode>
                <c:ptCount val="4"/>
                <c:pt idx="0">
                  <c:v>511</c:v>
                </c:pt>
                <c:pt idx="1">
                  <c:v>402</c:v>
                </c:pt>
                <c:pt idx="2">
                  <c:v>382</c:v>
                </c:pt>
                <c:pt idx="3">
                  <c:v>340</c:v>
                </c:pt>
              </c:numCache>
            </c:numRef>
          </c:val>
          <c:extLst>
            <c:ext xmlns:c16="http://schemas.microsoft.com/office/drawing/2014/chart" uri="{C3380CC4-5D6E-409C-BE32-E72D297353CC}">
              <c16:uniqueId val="{00000008-A88F-4607-ADC0-DCB1911AFA6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[data.xlsx]Sheet4!PivotTable4</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East</c:v>
                </c:pt>
                <c:pt idx="1">
                  <c:v>North</c:v>
                </c:pt>
                <c:pt idx="2">
                  <c:v>South</c:v>
                </c:pt>
                <c:pt idx="3">
                  <c:v>West</c:v>
                </c:pt>
              </c:strCache>
            </c:strRef>
          </c:cat>
          <c:val>
            <c:numRef>
              <c:f>Sheet4!$B$4:$B$8</c:f>
              <c:numCache>
                <c:formatCode>General</c:formatCode>
                <c:ptCount val="4"/>
                <c:pt idx="0">
                  <c:v>511</c:v>
                </c:pt>
                <c:pt idx="1">
                  <c:v>402</c:v>
                </c:pt>
                <c:pt idx="2">
                  <c:v>382</c:v>
                </c:pt>
                <c:pt idx="3">
                  <c:v>340</c:v>
                </c:pt>
              </c:numCache>
            </c:numRef>
          </c:val>
          <c:extLst>
            <c:ext xmlns:c16="http://schemas.microsoft.com/office/drawing/2014/chart" uri="{C3380CC4-5D6E-409C-BE32-E72D297353CC}">
              <c16:uniqueId val="{00000000-B712-4CEE-BA5F-D41B00095E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[data.xlsx]Sheet5!PivotTable6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East</c:v>
                </c:pt>
              </c:strCache>
            </c:strRef>
          </c:tx>
          <c:spPr>
            <a:solidFill>
              <a:schemeClr val="accent1"/>
            </a:solidFill>
            <a:ln>
              <a:noFill/>
            </a:ln>
            <a:effectLst/>
          </c:spPr>
          <c:invertIfNegative val="0"/>
          <c:cat>
            <c:strRef>
              <c:f>Sheet5!$A$5:$A$11</c:f>
              <c:strCache>
                <c:ptCount val="6"/>
                <c:pt idx="0">
                  <c:v>Amit</c:v>
                </c:pt>
                <c:pt idx="1">
                  <c:v>David</c:v>
                </c:pt>
                <c:pt idx="2">
                  <c:v>John</c:v>
                </c:pt>
                <c:pt idx="3">
                  <c:v>Lina</c:v>
                </c:pt>
                <c:pt idx="4">
                  <c:v>Riya</c:v>
                </c:pt>
                <c:pt idx="5">
                  <c:v>Sara</c:v>
                </c:pt>
              </c:strCache>
            </c:strRef>
          </c:cat>
          <c:val>
            <c:numRef>
              <c:f>Sheet5!$B$5:$B$11</c:f>
              <c:numCache>
                <c:formatCode>General</c:formatCode>
                <c:ptCount val="6"/>
                <c:pt idx="0">
                  <c:v>110307</c:v>
                </c:pt>
                <c:pt idx="1">
                  <c:v>58349</c:v>
                </c:pt>
                <c:pt idx="2">
                  <c:v>95920</c:v>
                </c:pt>
                <c:pt idx="3">
                  <c:v>280963</c:v>
                </c:pt>
                <c:pt idx="4">
                  <c:v>55392</c:v>
                </c:pt>
              </c:numCache>
            </c:numRef>
          </c:val>
          <c:extLst>
            <c:ext xmlns:c16="http://schemas.microsoft.com/office/drawing/2014/chart" uri="{C3380CC4-5D6E-409C-BE32-E72D297353CC}">
              <c16:uniqueId val="{00000000-D370-44D7-9343-FCF128316CC2}"/>
            </c:ext>
          </c:extLst>
        </c:ser>
        <c:ser>
          <c:idx val="1"/>
          <c:order val="1"/>
          <c:tx>
            <c:strRef>
              <c:f>Sheet5!$C$3:$C$4</c:f>
              <c:strCache>
                <c:ptCount val="1"/>
                <c:pt idx="0">
                  <c:v>North</c:v>
                </c:pt>
              </c:strCache>
            </c:strRef>
          </c:tx>
          <c:spPr>
            <a:solidFill>
              <a:schemeClr val="accent2"/>
            </a:solidFill>
            <a:ln>
              <a:noFill/>
            </a:ln>
            <a:effectLst/>
          </c:spPr>
          <c:invertIfNegative val="0"/>
          <c:cat>
            <c:strRef>
              <c:f>Sheet5!$A$5:$A$11</c:f>
              <c:strCache>
                <c:ptCount val="6"/>
                <c:pt idx="0">
                  <c:v>Amit</c:v>
                </c:pt>
                <c:pt idx="1">
                  <c:v>David</c:v>
                </c:pt>
                <c:pt idx="2">
                  <c:v>John</c:v>
                </c:pt>
                <c:pt idx="3">
                  <c:v>Lina</c:v>
                </c:pt>
                <c:pt idx="4">
                  <c:v>Riya</c:v>
                </c:pt>
                <c:pt idx="5">
                  <c:v>Sara</c:v>
                </c:pt>
              </c:strCache>
            </c:strRef>
          </c:cat>
          <c:val>
            <c:numRef>
              <c:f>Sheet5!$C$5:$C$11</c:f>
              <c:numCache>
                <c:formatCode>General</c:formatCode>
                <c:ptCount val="6"/>
                <c:pt idx="0">
                  <c:v>36115</c:v>
                </c:pt>
                <c:pt idx="1">
                  <c:v>200691</c:v>
                </c:pt>
                <c:pt idx="2">
                  <c:v>213300</c:v>
                </c:pt>
                <c:pt idx="4">
                  <c:v>6168</c:v>
                </c:pt>
                <c:pt idx="5">
                  <c:v>146014</c:v>
                </c:pt>
              </c:numCache>
            </c:numRef>
          </c:val>
          <c:extLst>
            <c:ext xmlns:c16="http://schemas.microsoft.com/office/drawing/2014/chart" uri="{C3380CC4-5D6E-409C-BE32-E72D297353CC}">
              <c16:uniqueId val="{00000001-D370-44D7-9343-FCF128316CC2}"/>
            </c:ext>
          </c:extLst>
        </c:ser>
        <c:ser>
          <c:idx val="2"/>
          <c:order val="2"/>
          <c:tx>
            <c:strRef>
              <c:f>Sheet5!$D$3:$D$4</c:f>
              <c:strCache>
                <c:ptCount val="1"/>
                <c:pt idx="0">
                  <c:v>South</c:v>
                </c:pt>
              </c:strCache>
            </c:strRef>
          </c:tx>
          <c:spPr>
            <a:solidFill>
              <a:schemeClr val="accent3"/>
            </a:solidFill>
            <a:ln>
              <a:noFill/>
            </a:ln>
            <a:effectLst/>
          </c:spPr>
          <c:invertIfNegative val="0"/>
          <c:cat>
            <c:strRef>
              <c:f>Sheet5!$A$5:$A$11</c:f>
              <c:strCache>
                <c:ptCount val="6"/>
                <c:pt idx="0">
                  <c:v>Amit</c:v>
                </c:pt>
                <c:pt idx="1">
                  <c:v>David</c:v>
                </c:pt>
                <c:pt idx="2">
                  <c:v>John</c:v>
                </c:pt>
                <c:pt idx="3">
                  <c:v>Lina</c:v>
                </c:pt>
                <c:pt idx="4">
                  <c:v>Riya</c:v>
                </c:pt>
                <c:pt idx="5">
                  <c:v>Sara</c:v>
                </c:pt>
              </c:strCache>
            </c:strRef>
          </c:cat>
          <c:val>
            <c:numRef>
              <c:f>Sheet5!$D$5:$D$11</c:f>
              <c:numCache>
                <c:formatCode>General</c:formatCode>
                <c:ptCount val="6"/>
                <c:pt idx="0">
                  <c:v>138747</c:v>
                </c:pt>
                <c:pt idx="1">
                  <c:v>3570</c:v>
                </c:pt>
                <c:pt idx="2">
                  <c:v>62690</c:v>
                </c:pt>
                <c:pt idx="3">
                  <c:v>104418</c:v>
                </c:pt>
                <c:pt idx="4">
                  <c:v>59608</c:v>
                </c:pt>
                <c:pt idx="5">
                  <c:v>206346</c:v>
                </c:pt>
              </c:numCache>
            </c:numRef>
          </c:val>
          <c:extLst>
            <c:ext xmlns:c16="http://schemas.microsoft.com/office/drawing/2014/chart" uri="{C3380CC4-5D6E-409C-BE32-E72D297353CC}">
              <c16:uniqueId val="{00000002-D370-44D7-9343-FCF128316CC2}"/>
            </c:ext>
          </c:extLst>
        </c:ser>
        <c:ser>
          <c:idx val="3"/>
          <c:order val="3"/>
          <c:tx>
            <c:strRef>
              <c:f>Sheet5!$E$3:$E$4</c:f>
              <c:strCache>
                <c:ptCount val="1"/>
                <c:pt idx="0">
                  <c:v>West</c:v>
                </c:pt>
              </c:strCache>
            </c:strRef>
          </c:tx>
          <c:spPr>
            <a:solidFill>
              <a:schemeClr val="accent4"/>
            </a:solidFill>
            <a:ln>
              <a:noFill/>
            </a:ln>
            <a:effectLst/>
          </c:spPr>
          <c:invertIfNegative val="0"/>
          <c:cat>
            <c:strRef>
              <c:f>Sheet5!$A$5:$A$11</c:f>
              <c:strCache>
                <c:ptCount val="6"/>
                <c:pt idx="0">
                  <c:v>Amit</c:v>
                </c:pt>
                <c:pt idx="1">
                  <c:v>David</c:v>
                </c:pt>
                <c:pt idx="2">
                  <c:v>John</c:v>
                </c:pt>
                <c:pt idx="3">
                  <c:v>Lina</c:v>
                </c:pt>
                <c:pt idx="4">
                  <c:v>Riya</c:v>
                </c:pt>
                <c:pt idx="5">
                  <c:v>Sara</c:v>
                </c:pt>
              </c:strCache>
            </c:strRef>
          </c:cat>
          <c:val>
            <c:numRef>
              <c:f>Sheet5!$E$5:$E$11</c:f>
              <c:numCache>
                <c:formatCode>General</c:formatCode>
                <c:ptCount val="6"/>
                <c:pt idx="1">
                  <c:v>82410</c:v>
                </c:pt>
                <c:pt idx="2">
                  <c:v>59697</c:v>
                </c:pt>
                <c:pt idx="3">
                  <c:v>60170</c:v>
                </c:pt>
                <c:pt idx="4">
                  <c:v>71170</c:v>
                </c:pt>
                <c:pt idx="5">
                  <c:v>137277</c:v>
                </c:pt>
              </c:numCache>
            </c:numRef>
          </c:val>
          <c:extLst>
            <c:ext xmlns:c16="http://schemas.microsoft.com/office/drawing/2014/chart" uri="{C3380CC4-5D6E-409C-BE32-E72D297353CC}">
              <c16:uniqueId val="{00000003-D370-44D7-9343-FCF128316CC2}"/>
            </c:ext>
          </c:extLst>
        </c:ser>
        <c:dLbls>
          <c:showLegendKey val="0"/>
          <c:showVal val="0"/>
          <c:showCatName val="0"/>
          <c:showSerName val="0"/>
          <c:showPercent val="0"/>
          <c:showBubbleSize val="0"/>
        </c:dLbls>
        <c:gapWidth val="219"/>
        <c:overlap val="-27"/>
        <c:axId val="275404687"/>
        <c:axId val="400737375"/>
      </c:barChart>
      <c:catAx>
        <c:axId val="2754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37375"/>
        <c:crosses val="autoZero"/>
        <c:auto val="1"/>
        <c:lblAlgn val="ctr"/>
        <c:lblOffset val="100"/>
        <c:noMultiLvlLbl val="0"/>
      </c:catAx>
      <c:valAx>
        <c:axId val="40073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40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[data.xlsx]RegionVsSales!PivotTable2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RegionVsSales!$B$3</c:f>
              <c:strCache>
                <c:ptCount val="1"/>
                <c:pt idx="0">
                  <c:v>Total</c:v>
                </c:pt>
              </c:strCache>
            </c:strRef>
          </c:tx>
          <c:spPr>
            <a:solidFill>
              <a:schemeClr val="accent1"/>
            </a:solidFill>
            <a:ln>
              <a:noFill/>
            </a:ln>
            <a:effectLst/>
          </c:spPr>
          <c:invertIfNegative val="0"/>
          <c:cat>
            <c:strRef>
              <c:f>RegionVsSales!$A$4:$A$8</c:f>
              <c:strCache>
                <c:ptCount val="4"/>
                <c:pt idx="0">
                  <c:v>East</c:v>
                </c:pt>
                <c:pt idx="1">
                  <c:v>North</c:v>
                </c:pt>
                <c:pt idx="2">
                  <c:v>South</c:v>
                </c:pt>
                <c:pt idx="3">
                  <c:v>West</c:v>
                </c:pt>
              </c:strCache>
            </c:strRef>
          </c:cat>
          <c:val>
            <c:numRef>
              <c:f>RegionVsSales!$B$4:$B$8</c:f>
              <c:numCache>
                <c:formatCode>General</c:formatCode>
                <c:ptCount val="4"/>
                <c:pt idx="0">
                  <c:v>69450</c:v>
                </c:pt>
                <c:pt idx="1">
                  <c:v>33301</c:v>
                </c:pt>
                <c:pt idx="2">
                  <c:v>126790</c:v>
                </c:pt>
                <c:pt idx="3">
                  <c:v>37455</c:v>
                </c:pt>
              </c:numCache>
            </c:numRef>
          </c:val>
          <c:extLst>
            <c:ext xmlns:c16="http://schemas.microsoft.com/office/drawing/2014/chart" uri="{C3380CC4-5D6E-409C-BE32-E72D297353CC}">
              <c16:uniqueId val="{00000000-C249-4125-B2E4-BEA5EC0CD1E6}"/>
            </c:ext>
          </c:extLst>
        </c:ser>
        <c:dLbls>
          <c:showLegendKey val="0"/>
          <c:showVal val="0"/>
          <c:showCatName val="0"/>
          <c:showSerName val="0"/>
          <c:showPercent val="0"/>
          <c:showBubbleSize val="0"/>
        </c:dLbls>
        <c:gapWidth val="219"/>
        <c:overlap val="-27"/>
        <c:axId val="1247135615"/>
        <c:axId val="1247136031"/>
      </c:barChart>
      <c:catAx>
        <c:axId val="124713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6031"/>
        <c:crosses val="autoZero"/>
        <c:auto val="1"/>
        <c:lblAlgn val="ctr"/>
        <c:lblOffset val="100"/>
        <c:noMultiLvlLbl val="0"/>
      </c:catAx>
      <c:valAx>
        <c:axId val="124713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[data.xlsx]UnitSoldBySalesPerson!PivotTable1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UnitSoldBySalesPerson!$B$3</c:f>
              <c:strCache>
                <c:ptCount val="1"/>
                <c:pt idx="0">
                  <c:v>Total</c:v>
                </c:pt>
              </c:strCache>
            </c:strRef>
          </c:tx>
          <c:spPr>
            <a:solidFill>
              <a:schemeClr val="accent1"/>
            </a:solidFill>
            <a:ln>
              <a:noFill/>
            </a:ln>
            <a:effectLst/>
          </c:spPr>
          <c:invertIfNegative val="0"/>
          <c:cat>
            <c:strRef>
              <c:f>UnitSoldBySalesPerson!$A$4:$A$10</c:f>
              <c:strCache>
                <c:ptCount val="6"/>
                <c:pt idx="0">
                  <c:v>Amit</c:v>
                </c:pt>
                <c:pt idx="1">
                  <c:v>David</c:v>
                </c:pt>
                <c:pt idx="2">
                  <c:v>John</c:v>
                </c:pt>
                <c:pt idx="3">
                  <c:v>Lina</c:v>
                </c:pt>
                <c:pt idx="4">
                  <c:v>Riya</c:v>
                </c:pt>
                <c:pt idx="5">
                  <c:v>Sara</c:v>
                </c:pt>
              </c:strCache>
            </c:strRef>
          </c:cat>
          <c:val>
            <c:numRef>
              <c:f>UnitSoldBySalesPerson!$B$4:$B$10</c:f>
              <c:numCache>
                <c:formatCode>General</c:formatCode>
                <c:ptCount val="6"/>
                <c:pt idx="0">
                  <c:v>232</c:v>
                </c:pt>
                <c:pt idx="1">
                  <c:v>253</c:v>
                </c:pt>
                <c:pt idx="2">
                  <c:v>313</c:v>
                </c:pt>
                <c:pt idx="3">
                  <c:v>355</c:v>
                </c:pt>
                <c:pt idx="4">
                  <c:v>155</c:v>
                </c:pt>
                <c:pt idx="5">
                  <c:v>327</c:v>
                </c:pt>
              </c:numCache>
            </c:numRef>
          </c:val>
          <c:extLst>
            <c:ext xmlns:c16="http://schemas.microsoft.com/office/drawing/2014/chart" uri="{C3380CC4-5D6E-409C-BE32-E72D297353CC}">
              <c16:uniqueId val="{00000000-932C-4291-AEDD-A736DC2CDC94}"/>
            </c:ext>
          </c:extLst>
        </c:ser>
        <c:dLbls>
          <c:showLegendKey val="0"/>
          <c:showVal val="0"/>
          <c:showCatName val="0"/>
          <c:showSerName val="0"/>
          <c:showPercent val="0"/>
          <c:showBubbleSize val="0"/>
        </c:dLbls>
        <c:gapWidth val="219"/>
        <c:overlap val="-27"/>
        <c:axId val="189698735"/>
        <c:axId val="189690575"/>
      </c:barChart>
      <c:catAx>
        <c:axId val="1896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0575"/>
        <c:crosses val="autoZero"/>
        <c:auto val="1"/>
        <c:lblAlgn val="ctr"/>
        <c:lblOffset val="100"/>
        <c:noMultiLvlLbl val="0"/>
      </c:catAx>
      <c:valAx>
        <c:axId val="18969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[data.xlsx]UnitSoldBySalesPerson!PivotTable1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UnitSoldBySalesPerson!$B$3</c:f>
              <c:strCache>
                <c:ptCount val="1"/>
                <c:pt idx="0">
                  <c:v>Total</c:v>
                </c:pt>
              </c:strCache>
            </c:strRef>
          </c:tx>
          <c:spPr>
            <a:solidFill>
              <a:schemeClr val="accent4"/>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UnitSoldBySalesPerson!$A$4:$A$10</c:f>
              <c:strCache>
                <c:ptCount val="6"/>
                <c:pt idx="0">
                  <c:v>Amit</c:v>
                </c:pt>
                <c:pt idx="1">
                  <c:v>David</c:v>
                </c:pt>
                <c:pt idx="2">
                  <c:v>John</c:v>
                </c:pt>
                <c:pt idx="3">
                  <c:v>Lina</c:v>
                </c:pt>
                <c:pt idx="4">
                  <c:v>Riya</c:v>
                </c:pt>
                <c:pt idx="5">
                  <c:v>Sara</c:v>
                </c:pt>
              </c:strCache>
            </c:strRef>
          </c:cat>
          <c:val>
            <c:numRef>
              <c:f>UnitSoldBySalesPerson!$B$4:$B$10</c:f>
              <c:numCache>
                <c:formatCode>General</c:formatCode>
                <c:ptCount val="6"/>
                <c:pt idx="0">
                  <c:v>232</c:v>
                </c:pt>
                <c:pt idx="1">
                  <c:v>253</c:v>
                </c:pt>
                <c:pt idx="2">
                  <c:v>313</c:v>
                </c:pt>
                <c:pt idx="3">
                  <c:v>355</c:v>
                </c:pt>
                <c:pt idx="4">
                  <c:v>155</c:v>
                </c:pt>
                <c:pt idx="5">
                  <c:v>327</c:v>
                </c:pt>
              </c:numCache>
            </c:numRef>
          </c:val>
          <c:extLst>
            <c:ext xmlns:c16="http://schemas.microsoft.com/office/drawing/2014/chart" uri="{C3380CC4-5D6E-409C-BE32-E72D297353CC}">
              <c16:uniqueId val="{00000000-B42D-4F1B-A009-37357A3757AC}"/>
            </c:ext>
          </c:extLst>
        </c:ser>
        <c:dLbls>
          <c:showLegendKey val="0"/>
          <c:showVal val="0"/>
          <c:showCatName val="0"/>
          <c:showSerName val="0"/>
          <c:showPercent val="0"/>
          <c:showBubbleSize val="0"/>
        </c:dLbls>
        <c:gapWidth val="150"/>
        <c:axId val="189702095"/>
        <c:axId val="189702575"/>
      </c:barChart>
      <c:catAx>
        <c:axId val="1897020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2575"/>
        <c:crosses val="autoZero"/>
        <c:auto val="1"/>
        <c:lblAlgn val="ctr"/>
        <c:lblOffset val="100"/>
        <c:noMultiLvlLbl val="0"/>
      </c:catAx>
      <c:valAx>
        <c:axId val="18970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256190</xdr:colOff>
      <xdr:row>4</xdr:row>
      <xdr:rowOff>13138</xdr:rowOff>
    </xdr:from>
    <xdr:to>
      <xdr:col>5</xdr:col>
      <xdr:colOff>177363</xdr:colOff>
      <xdr:row>9</xdr:row>
      <xdr:rowOff>32845</xdr:rowOff>
    </xdr:to>
    <xdr:sp macro="" textlink="">
      <xdr:nvSpPr>
        <xdr:cNvPr id="2" name="Rectangle: Rounded Corners 1">
          <a:extLst>
            <a:ext uri="{FF2B5EF4-FFF2-40B4-BE49-F238E27FC236}">
              <a16:creationId xmlns:a16="http://schemas.microsoft.com/office/drawing/2014/main" id="{A1401688-6E52-4F2E-9DF1-D70D3F9286C4}"/>
            </a:ext>
          </a:extLst>
        </xdr:cNvPr>
        <xdr:cNvSpPr/>
      </xdr:nvSpPr>
      <xdr:spPr>
        <a:xfrm>
          <a:off x="1478018" y="775138"/>
          <a:ext cx="1753914" cy="972207"/>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000"/>
            <a:t>25,45,558</a:t>
          </a:r>
        </a:p>
        <a:p>
          <a:pPr algn="ctr"/>
          <a:r>
            <a:rPr lang="en-IN" sz="1050"/>
            <a:t>Total</a:t>
          </a:r>
          <a:r>
            <a:rPr lang="en-IN" sz="1050" baseline="0"/>
            <a:t> Sales</a:t>
          </a:r>
          <a:endParaRPr lang="en-IN" sz="2000"/>
        </a:p>
      </xdr:txBody>
    </xdr:sp>
    <xdr:clientData/>
  </xdr:twoCellAnchor>
  <xdr:twoCellAnchor>
    <xdr:from>
      <xdr:col>14</xdr:col>
      <xdr:colOff>455887</xdr:colOff>
      <xdr:row>4</xdr:row>
      <xdr:rowOff>15766</xdr:rowOff>
    </xdr:from>
    <xdr:to>
      <xdr:col>17</xdr:col>
      <xdr:colOff>377060</xdr:colOff>
      <xdr:row>9</xdr:row>
      <xdr:rowOff>35473</xdr:rowOff>
    </xdr:to>
    <xdr:sp macro="" textlink="">
      <xdr:nvSpPr>
        <xdr:cNvPr id="5" name="Rectangle: Rounded Corners 4">
          <a:extLst>
            <a:ext uri="{FF2B5EF4-FFF2-40B4-BE49-F238E27FC236}">
              <a16:creationId xmlns:a16="http://schemas.microsoft.com/office/drawing/2014/main" id="{AC03387F-7A68-4A8E-A734-1F988CAA1D88}"/>
            </a:ext>
          </a:extLst>
        </xdr:cNvPr>
        <xdr:cNvSpPr/>
      </xdr:nvSpPr>
      <xdr:spPr>
        <a:xfrm>
          <a:off x="9008680" y="777766"/>
          <a:ext cx="1753914" cy="972207"/>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275899</xdr:colOff>
      <xdr:row>3</xdr:row>
      <xdr:rowOff>26277</xdr:rowOff>
    </xdr:from>
    <xdr:to>
      <xdr:col>12</xdr:col>
      <xdr:colOff>348158</xdr:colOff>
      <xdr:row>13</xdr:row>
      <xdr:rowOff>13139</xdr:rowOff>
    </xdr:to>
    <xdr:graphicFrame macro="">
      <xdr:nvGraphicFramePr>
        <xdr:cNvPr id="6" name="Chart 5">
          <a:extLst>
            <a:ext uri="{FF2B5EF4-FFF2-40B4-BE49-F238E27FC236}">
              <a16:creationId xmlns:a16="http://schemas.microsoft.com/office/drawing/2014/main" id="{7A0808F5-497F-4E26-BDA4-A4A85DA20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7</xdr:row>
      <xdr:rowOff>71437</xdr:rowOff>
    </xdr:from>
    <xdr:to>
      <xdr:col>8</xdr:col>
      <xdr:colOff>142875</xdr:colOff>
      <xdr:row>22</xdr:row>
      <xdr:rowOff>66675</xdr:rowOff>
    </xdr:to>
    <xdr:graphicFrame macro="">
      <xdr:nvGraphicFramePr>
        <xdr:cNvPr id="2" name="Chart 1">
          <a:extLst>
            <a:ext uri="{FF2B5EF4-FFF2-40B4-BE49-F238E27FC236}">
              <a16:creationId xmlns:a16="http://schemas.microsoft.com/office/drawing/2014/main" id="{C4E33339-6C5B-41A0-AAF1-1E8AB5A17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209549</xdr:colOff>
      <xdr:row>0</xdr:row>
      <xdr:rowOff>0</xdr:rowOff>
    </xdr:from>
    <xdr:to>
      <xdr:col>19</xdr:col>
      <xdr:colOff>428624</xdr:colOff>
      <xdr:row>18</xdr:row>
      <xdr:rowOff>147638</xdr:rowOff>
    </xdr:to>
    <xdr:graphicFrame macro="">
      <xdr:nvGraphicFramePr>
        <xdr:cNvPr id="2" name="Chart 1">
          <a:extLst>
            <a:ext uri="{FF2B5EF4-FFF2-40B4-BE49-F238E27FC236}">
              <a16:creationId xmlns:a16="http://schemas.microsoft.com/office/drawing/2014/main" id="{99D4471B-62D0-77CC-8457-E75C70993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314324</xdr:colOff>
      <xdr:row>2</xdr:row>
      <xdr:rowOff>9525</xdr:rowOff>
    </xdr:from>
    <xdr:to>
      <xdr:col>8</xdr:col>
      <xdr:colOff>323850</xdr:colOff>
      <xdr:row>7</xdr:row>
      <xdr:rowOff>171451</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722626DD-3203-4664-87E2-3140E549276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314574" y="390525"/>
              <a:ext cx="3667126" cy="11144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933450</xdr:colOff>
      <xdr:row>3</xdr:row>
      <xdr:rowOff>142875</xdr:rowOff>
    </xdr:from>
    <xdr:to>
      <xdr:col>5</xdr:col>
      <xdr:colOff>381000</xdr:colOff>
      <xdr:row>12</xdr:row>
      <xdr:rowOff>152400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5DB494A4-B916-4DF9-90A8-103263B4FB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686050" y="714375"/>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581025</xdr:colOff>
      <xdr:row>0</xdr:row>
      <xdr:rowOff>0</xdr:rowOff>
    </xdr:from>
    <xdr:to>
      <xdr:col>14</xdr:col>
      <xdr:colOff>276225</xdr:colOff>
      <xdr:row>14</xdr:row>
      <xdr:rowOff>76200</xdr:rowOff>
    </xdr:to>
    <xdr:graphicFrame macro="">
      <xdr:nvGraphicFramePr>
        <xdr:cNvPr id="3" name="Chart 2">
          <a:extLst>
            <a:ext uri="{FF2B5EF4-FFF2-40B4-BE49-F238E27FC236}">
              <a16:creationId xmlns:a16="http://schemas.microsoft.com/office/drawing/2014/main" id="{FC92CEF2-27F2-4E0D-8C01-62E95F786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352424</xdr:colOff>
      <xdr:row>2</xdr:row>
      <xdr:rowOff>42862</xdr:rowOff>
    </xdr:from>
    <xdr:to>
      <xdr:col>17</xdr:col>
      <xdr:colOff>609599</xdr:colOff>
      <xdr:row>18</xdr:row>
      <xdr:rowOff>38100</xdr:rowOff>
    </xdr:to>
    <xdr:graphicFrame macro="">
      <xdr:nvGraphicFramePr>
        <xdr:cNvPr id="2" name="Chart 1">
          <a:extLst>
            <a:ext uri="{FF2B5EF4-FFF2-40B4-BE49-F238E27FC236}">
              <a16:creationId xmlns:a16="http://schemas.microsoft.com/office/drawing/2014/main" id="{C2F03CED-62B6-D3AD-7BAD-C40A46FBF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128587</xdr:rowOff>
    </xdr:from>
    <xdr:to>
      <xdr:col>6</xdr:col>
      <xdr:colOff>581025</xdr:colOff>
      <xdr:row>27</xdr:row>
      <xdr:rowOff>14287</xdr:rowOff>
    </xdr:to>
    <xdr:graphicFrame macro="">
      <xdr:nvGraphicFramePr>
        <xdr:cNvPr id="3" name="Chart 2">
          <a:extLst>
            <a:ext uri="{FF2B5EF4-FFF2-40B4-BE49-F238E27FC236}">
              <a16:creationId xmlns:a16="http://schemas.microsoft.com/office/drawing/2014/main" id="{AB65B695-2453-D103-F764-DA95231C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WR2" refreshedDate="46065.545659374999" createdVersion="8" refreshedVersion="8" minRefreshableVersion="3" recordCount="59" xr:uid="{B19B4BCC-19A5-4093-B91D-D915B84F8F8D}">
  <cacheSource type="worksheet">
    <worksheetSource ref="A1:G60" sheet="Sheet1"/>
  </cacheSource>
  <cacheFields count="7">
    <cacheField name="Date" numFmtId="14">
      <sharedItems containsSemiMixedTypes="0" containsNonDate="0" containsDate="1" containsString="0" minDate="2024-01-01T00:00:00" maxDate="2024-02-29T00:00:00"/>
    </cacheField>
    <cacheField name="Region" numFmtId="0">
      <sharedItems count="4">
        <s v="South"/>
        <s v="North"/>
        <s v="West"/>
        <s v="East"/>
      </sharedItems>
    </cacheField>
    <cacheField name="Product" numFmtId="0">
      <sharedItems count="5">
        <s v="Tablet"/>
        <s v="Headphones"/>
        <s v="Camera"/>
        <s v="Mobile"/>
        <s v="Laptop"/>
      </sharedItems>
    </cacheField>
    <cacheField name="Salesperson" numFmtId="0">
      <sharedItems count="6">
        <s v="Lina"/>
        <s v="Riya"/>
        <s v="Sara"/>
        <s v="Amit"/>
        <s v="David"/>
        <s v="John"/>
      </sharedItems>
    </cacheField>
    <cacheField name="Units_Sold" numFmtId="0">
      <sharedItems containsSemiMixedTypes="0" containsString="0" containsNumber="1" containsInteger="1" minValue="7" maxValue="50"/>
    </cacheField>
    <cacheField name="Unit_Price" numFmtId="0">
      <sharedItems containsSemiMixedTypes="0" containsString="0" containsNumber="1" containsInteger="1" minValue="510" maxValue="1900"/>
    </cacheField>
    <cacheField name="Total_Sale" numFmtId="0">
      <sharedItems containsSemiMixedTypes="0" containsString="0" containsNumber="1" containsInteger="1" minValue="417" maxValue="95000"/>
    </cacheField>
  </cacheFields>
  <extLst>
    <ext xmlns:x14="http://schemas.microsoft.com/office/spreadsheetml/2009/9/main" uri="{725AE2AE-9491-48be-B2B4-4EB974FC3084}">
      <x14:pivotCacheDefinition pivotCacheId="9772166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WR2" refreshedDate="46065.55424675926" createdVersion="8" refreshedVersion="8" minRefreshableVersion="3" recordCount="59" xr:uid="{4B9AE504-1BE6-45EB-9ACE-E96B6B83B9C0}">
  <cacheSource type="worksheet">
    <worksheetSource ref="A1:G60" sheet="Sheet1"/>
  </cacheSource>
  <cacheFields count="7">
    <cacheField name="Date" numFmtId="14">
      <sharedItems containsSemiMixedTypes="0" containsNonDate="0" containsDate="1" containsString="0" minDate="2024-01-01T00:00:00" maxDate="2024-02-29T00:00:00"/>
    </cacheField>
    <cacheField name="Region" numFmtId="0">
      <sharedItems count="4">
        <s v="South"/>
        <s v="North"/>
        <s v="West"/>
        <s v="East"/>
      </sharedItems>
    </cacheField>
    <cacheField name="Product" numFmtId="0">
      <sharedItems/>
    </cacheField>
    <cacheField name="Salesperson" numFmtId="0">
      <sharedItems/>
    </cacheField>
    <cacheField name="Units_Sold" numFmtId="0">
      <sharedItems containsSemiMixedTypes="0" containsString="0" containsNumber="1" containsInteger="1" minValue="7" maxValue="50"/>
    </cacheField>
    <cacheField name="Unit_Price" numFmtId="0">
      <sharedItems containsSemiMixedTypes="0" containsString="0" containsNumber="1" containsInteger="1" minValue="510" maxValue="1900"/>
    </cacheField>
    <cacheField name="Total_Sale" numFmtId="0">
      <sharedItems containsSemiMixedTypes="0" containsString="0" containsNumber="1" containsInteger="1" minValue="417" maxValue="95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WR2" refreshedDate="46065.554445486108" createdVersion="8" refreshedVersion="8" minRefreshableVersion="3" recordCount="59" xr:uid="{F2A5FEE1-267E-4154-9FB6-EB7FA6962014}">
  <cacheSource type="worksheet">
    <worksheetSource ref="A1:G60" sheet="Sheet1"/>
  </cacheSource>
  <cacheFields count="7">
    <cacheField name="Date" numFmtId="14">
      <sharedItems containsSemiMixedTypes="0" containsNonDate="0" containsDate="1" containsString="0" minDate="2024-01-01T00:00:00" maxDate="2024-02-29T00:00:00" count="5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cacheField>
    <cacheField name="Region" numFmtId="0">
      <sharedItems count="4">
        <s v="South"/>
        <s v="North"/>
        <s v="West"/>
        <s v="East"/>
      </sharedItems>
    </cacheField>
    <cacheField name="Product" numFmtId="0">
      <sharedItems/>
    </cacheField>
    <cacheField name="Salesperson" numFmtId="0">
      <sharedItems count="6">
        <s v="Lina"/>
        <s v="Riya"/>
        <s v="Sara"/>
        <s v="Amit"/>
        <s v="David"/>
        <s v="John"/>
      </sharedItems>
    </cacheField>
    <cacheField name="Units_Sold" numFmtId="0">
      <sharedItems containsSemiMixedTypes="0" containsString="0" containsNumber="1" containsInteger="1" minValue="7" maxValue="50"/>
    </cacheField>
    <cacheField name="Unit_Price" numFmtId="0">
      <sharedItems containsSemiMixedTypes="0" containsString="0" containsNumber="1" containsInteger="1" minValue="510" maxValue="1900"/>
    </cacheField>
    <cacheField name="Total_Sale" numFmtId="0">
      <sharedItems containsSemiMixedTypes="0" containsString="0" containsNumber="1" containsInteger="1" minValue="417" maxValue="95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WR2" refreshedDate="46140.398388888891" createdVersion="7" refreshedVersion="7" minRefreshableVersion="3" recordCount="59" xr:uid="{0E1ACCBF-C700-4218-9B49-54E5C61DAFE6}">
  <cacheSource type="worksheet">
    <worksheetSource ref="A1:H60" sheet="Sheet1"/>
  </cacheSource>
  <cacheFields count="8">
    <cacheField name="Date" numFmtId="14">
      <sharedItems containsSemiMixedTypes="0" containsNonDate="0" containsDate="1" containsString="0" minDate="2024-01-01T00:00:00" maxDate="2026-03-01T00:00:00" count="5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5-02-12T00:00:00"/>
        <d v="2025-02-13T00:00:00"/>
        <d v="2025-02-14T00:00:00"/>
        <d v="2025-02-15T00:00:00"/>
        <d v="2025-02-16T00:00:00"/>
        <d v="2025-02-17T00:00:00"/>
        <d v="2025-02-18T00:00:00"/>
        <d v="2025-02-19T00:00:00"/>
        <d v="2025-02-20T00:00:00"/>
        <d v="2025-02-21T00:00:00"/>
        <d v="2025-02-22T00:00:00"/>
        <d v="2026-02-23T00:00:00"/>
        <d v="2026-02-24T00:00:00"/>
        <d v="2026-02-25T00:00:00"/>
        <d v="2026-02-26T00:00:00"/>
        <d v="2026-02-27T00:00:00"/>
        <d v="2026-02-28T00:00:00"/>
      </sharedItems>
    </cacheField>
    <cacheField name="Region" numFmtId="0">
      <sharedItems/>
    </cacheField>
    <cacheField name="Product" numFmtId="0">
      <sharedItems count="5">
        <s v="Tablet"/>
        <s v="Headphones"/>
        <s v="Camera"/>
        <s v="Mobile"/>
        <s v="Laptop"/>
      </sharedItems>
    </cacheField>
    <cacheField name="Salesperson" numFmtId="0">
      <sharedItems/>
    </cacheField>
    <cacheField name="Units_Sold" numFmtId="0">
      <sharedItems containsSemiMixedTypes="0" containsString="0" containsNumber="1" containsInteger="1" minValue="7" maxValue="50"/>
    </cacheField>
    <cacheField name="Unit_Price" numFmtId="0">
      <sharedItems containsSemiMixedTypes="0" containsString="0" containsNumber="1" containsInteger="1" minValue="510" maxValue="1900"/>
    </cacheField>
    <cacheField name="Total_Sale" numFmtId="0">
      <sharedItems containsSemiMixedTypes="0" containsString="0" containsNumber="1" containsInteger="1" minValue="417" maxValue="95000"/>
    </cacheField>
    <cacheField name="Year" numFmtId="0">
      <sharedItems containsSemiMixedTypes="0" containsString="0" containsNumber="1" containsInteger="1" minValue="2024" maxValue="2026"/>
    </cacheField>
  </cacheFields>
  <extLst>
    <ext xmlns:x14="http://schemas.microsoft.com/office/spreadsheetml/2009/9/main" uri="{725AE2AE-9491-48be-B2B4-4EB974FC3084}">
      <x14:pivotCacheDefinition pivotCacheId="691698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d v="2024-01-01T00:00:00"/>
    <x v="0"/>
    <x v="0"/>
    <x v="0"/>
    <n v="37"/>
    <n v="1747"/>
    <n v="64639"/>
  </r>
  <r>
    <d v="2024-01-02T00:00:00"/>
    <x v="1"/>
    <x v="1"/>
    <x v="1"/>
    <n v="12"/>
    <n v="514"/>
    <n v="6168"/>
  </r>
  <r>
    <d v="2024-01-03T00:00:00"/>
    <x v="2"/>
    <x v="2"/>
    <x v="2"/>
    <n v="41"/>
    <n v="1444"/>
    <n v="59204"/>
  </r>
  <r>
    <d v="2024-01-04T00:00:00"/>
    <x v="3"/>
    <x v="3"/>
    <x v="3"/>
    <n v="8"/>
    <n v="1013"/>
    <n v="8104"/>
  </r>
  <r>
    <d v="2024-01-05T00:00:00"/>
    <x v="1"/>
    <x v="4"/>
    <x v="4"/>
    <n v="47"/>
    <n v="1512"/>
    <n v="71064"/>
  </r>
  <r>
    <d v="2024-01-06T00:00:00"/>
    <x v="0"/>
    <x v="2"/>
    <x v="5"/>
    <n v="14"/>
    <n v="1753"/>
    <n v="24542"/>
  </r>
  <r>
    <d v="2024-01-07T00:00:00"/>
    <x v="3"/>
    <x v="3"/>
    <x v="0"/>
    <n v="50"/>
    <n v="1388"/>
    <n v="69400"/>
  </r>
  <r>
    <d v="2024-01-08T00:00:00"/>
    <x v="0"/>
    <x v="0"/>
    <x v="2"/>
    <n v="39"/>
    <n v="1004"/>
    <n v="39156"/>
  </r>
  <r>
    <d v="2024-01-09T00:00:00"/>
    <x v="3"/>
    <x v="2"/>
    <x v="3"/>
    <n v="22"/>
    <n v="1368"/>
    <n v="30096"/>
  </r>
  <r>
    <d v="2024-01-10T00:00:00"/>
    <x v="2"/>
    <x v="4"/>
    <x v="1"/>
    <n v="17"/>
    <n v="1650"/>
    <n v="28050"/>
  </r>
  <r>
    <d v="2024-01-11T00:00:00"/>
    <x v="1"/>
    <x v="1"/>
    <x v="4"/>
    <n v="21"/>
    <n v="584"/>
    <n v="12264"/>
  </r>
  <r>
    <d v="2024-01-12T00:00:00"/>
    <x v="0"/>
    <x v="2"/>
    <x v="0"/>
    <n v="18"/>
    <n v="1872"/>
    <n v="33696"/>
  </r>
  <r>
    <d v="2024-01-13T00:00:00"/>
    <x v="3"/>
    <x v="3"/>
    <x v="5"/>
    <n v="44"/>
    <n v="1305"/>
    <n v="57420"/>
  </r>
  <r>
    <d v="2024-01-14T00:00:00"/>
    <x v="2"/>
    <x v="4"/>
    <x v="2"/>
    <n v="10"/>
    <n v="1788"/>
    <n v="17880"/>
  </r>
  <r>
    <d v="2024-01-15T00:00:00"/>
    <x v="0"/>
    <x v="0"/>
    <x v="3"/>
    <n v="13"/>
    <n v="999"/>
    <n v="12987"/>
  </r>
  <r>
    <d v="2024-01-16T00:00:00"/>
    <x v="1"/>
    <x v="2"/>
    <x v="4"/>
    <n v="27"/>
    <n v="1801"/>
    <n v="48627"/>
  </r>
  <r>
    <d v="2024-01-17T00:00:00"/>
    <x v="3"/>
    <x v="3"/>
    <x v="0"/>
    <n v="48"/>
    <n v="1104"/>
    <n v="52992"/>
  </r>
  <r>
    <d v="2024-01-18T00:00:00"/>
    <x v="2"/>
    <x v="1"/>
    <x v="5"/>
    <n v="25"/>
    <n v="693"/>
    <n v="17325"/>
  </r>
  <r>
    <d v="2024-01-19T00:00:00"/>
    <x v="0"/>
    <x v="0"/>
    <x v="1"/>
    <n v="9"/>
    <n v="1112"/>
    <n v="10008"/>
  </r>
  <r>
    <d v="2024-01-20T00:00:00"/>
    <x v="1"/>
    <x v="2"/>
    <x v="2"/>
    <n v="46"/>
    <n v="1609"/>
    <n v="74014"/>
  </r>
  <r>
    <d v="2024-01-21T00:00:00"/>
    <x v="3"/>
    <x v="3"/>
    <x v="3"/>
    <n v="31"/>
    <n v="1520"/>
    <n v="47120"/>
  </r>
  <r>
    <d v="2024-01-22T00:00:00"/>
    <x v="2"/>
    <x v="4"/>
    <x v="4"/>
    <n v="20"/>
    <n v="1875"/>
    <n v="37500"/>
  </r>
  <r>
    <d v="2024-01-23T00:00:00"/>
    <x v="0"/>
    <x v="1"/>
    <x v="0"/>
    <n v="11"/>
    <n v="553"/>
    <n v="6083"/>
  </r>
  <r>
    <d v="2024-01-24T00:00:00"/>
    <x v="3"/>
    <x v="2"/>
    <x v="1"/>
    <n v="34"/>
    <n v="1399"/>
    <n v="47566"/>
  </r>
  <r>
    <d v="2024-01-25T00:00:00"/>
    <x v="1"/>
    <x v="3"/>
    <x v="5"/>
    <n v="28"/>
    <n v="1066"/>
    <n v="29848"/>
  </r>
  <r>
    <d v="2024-01-26T00:00:00"/>
    <x v="2"/>
    <x v="0"/>
    <x v="2"/>
    <n v="15"/>
    <n v="945"/>
    <n v="14175"/>
  </r>
  <r>
    <d v="2024-01-27T00:00:00"/>
    <x v="0"/>
    <x v="2"/>
    <x v="3"/>
    <n v="41"/>
    <n v="1780"/>
    <n v="72980"/>
  </r>
  <r>
    <d v="2024-01-28T00:00:00"/>
    <x v="1"/>
    <x v="4"/>
    <x v="4"/>
    <n v="19"/>
    <n v="1899"/>
    <n v="36081"/>
  </r>
  <r>
    <d v="2024-01-29T00:00:00"/>
    <x v="3"/>
    <x v="1"/>
    <x v="0"/>
    <n v="23"/>
    <n v="669"/>
    <n v="15387"/>
  </r>
  <r>
    <d v="2024-01-30T00:00:00"/>
    <x v="2"/>
    <x v="3"/>
    <x v="5"/>
    <n v="36"/>
    <n v="1177"/>
    <n v="42372"/>
  </r>
  <r>
    <d v="2024-01-31T00:00:00"/>
    <x v="0"/>
    <x v="2"/>
    <x v="2"/>
    <n v="29"/>
    <n v="1650"/>
    <n v="47850"/>
  </r>
  <r>
    <d v="2024-02-01T00:00:00"/>
    <x v="1"/>
    <x v="0"/>
    <x v="3"/>
    <n v="17"/>
    <n v="899"/>
    <n v="15283"/>
  </r>
  <r>
    <d v="2024-02-02T00:00:00"/>
    <x v="3"/>
    <x v="3"/>
    <x v="0"/>
    <n v="45"/>
    <n v="1240"/>
    <n v="55800"/>
  </r>
  <r>
    <d v="2024-02-03T00:00:00"/>
    <x v="2"/>
    <x v="1"/>
    <x v="4"/>
    <n v="30"/>
    <n v="721"/>
    <n v="21630"/>
  </r>
  <r>
    <d v="2024-02-04T00:00:00"/>
    <x v="1"/>
    <x v="4"/>
    <x v="5"/>
    <n v="50"/>
    <n v="1900"/>
    <n v="95000"/>
  </r>
  <r>
    <d v="2024-02-05T00:00:00"/>
    <x v="0"/>
    <x v="2"/>
    <x v="1"/>
    <n v="32"/>
    <n v="1550"/>
    <n v="49600"/>
  </r>
  <r>
    <d v="2024-02-06T00:00:00"/>
    <x v="3"/>
    <x v="0"/>
    <x v="0"/>
    <n v="44"/>
    <n v="1020"/>
    <n v="44880"/>
  </r>
  <r>
    <d v="2024-02-07T00:00:00"/>
    <x v="2"/>
    <x v="3"/>
    <x v="2"/>
    <n v="38"/>
    <n v="1211"/>
    <n v="46018"/>
  </r>
  <r>
    <d v="2024-02-08T00:00:00"/>
    <x v="1"/>
    <x v="2"/>
    <x v="3"/>
    <n v="14"/>
    <n v="1488"/>
    <n v="20832"/>
  </r>
  <r>
    <d v="2024-02-09T00:00:00"/>
    <x v="3"/>
    <x v="4"/>
    <x v="5"/>
    <n v="22"/>
    <n v="1750"/>
    <n v="38500"/>
  </r>
  <r>
    <d v="2024-02-10T00:00:00"/>
    <x v="0"/>
    <x v="1"/>
    <x v="4"/>
    <n v="7"/>
    <n v="510"/>
    <n v="3570"/>
  </r>
  <r>
    <d v="2024-02-11T00:00:00"/>
    <x v="2"/>
    <x v="3"/>
    <x v="1"/>
    <n v="28"/>
    <n v="1330"/>
    <n v="37240"/>
  </r>
  <r>
    <d v="2024-02-12T00:00:00"/>
    <x v="1"/>
    <x v="2"/>
    <x v="2"/>
    <n v="40"/>
    <n v="1800"/>
    <n v="72000"/>
  </r>
  <r>
    <d v="2024-02-13T00:00:00"/>
    <x v="3"/>
    <x v="0"/>
    <x v="3"/>
    <n v="26"/>
    <n v="945"/>
    <n v="24570"/>
  </r>
  <r>
    <d v="2024-02-14T00:00:00"/>
    <x v="0"/>
    <x v="3"/>
    <x v="5"/>
    <n v="34"/>
    <n v="1122"/>
    <n v="38148"/>
  </r>
  <r>
    <d v="2024-02-15T00:00:00"/>
    <x v="2"/>
    <x v="2"/>
    <x v="0"/>
    <n v="16"/>
    <n v="1700"/>
    <n v="27200"/>
  </r>
  <r>
    <d v="2024-02-16T00:00:00"/>
    <x v="1"/>
    <x v="4"/>
    <x v="4"/>
    <n v="21"/>
    <n v="1555"/>
    <n v="32655"/>
  </r>
  <r>
    <d v="2024-02-17T00:00:00"/>
    <x v="3"/>
    <x v="1"/>
    <x v="1"/>
    <n v="13"/>
    <n v="602"/>
    <n v="7826"/>
  </r>
  <r>
    <d v="2024-02-18T00:00:00"/>
    <x v="0"/>
    <x v="2"/>
    <x v="2"/>
    <n v="49"/>
    <n v="1660"/>
    <n v="81340"/>
  </r>
  <r>
    <d v="2024-02-19T00:00:00"/>
    <x v="2"/>
    <x v="3"/>
    <x v="0"/>
    <n v="30"/>
    <n v="1099"/>
    <n v="32970"/>
  </r>
  <r>
    <d v="2024-02-20T00:00:00"/>
    <x v="1"/>
    <x v="0"/>
    <x v="5"/>
    <n v="18"/>
    <n v="1001"/>
    <n v="18018"/>
  </r>
  <r>
    <d v="2024-02-21T00:00:00"/>
    <x v="3"/>
    <x v="2"/>
    <x v="4"/>
    <n v="37"/>
    <n v="1577"/>
    <n v="58349"/>
  </r>
  <r>
    <d v="2024-02-22T00:00:00"/>
    <x v="0"/>
    <x v="4"/>
    <x v="3"/>
    <n v="29"/>
    <n v="1820"/>
    <n v="52780"/>
  </r>
  <r>
    <d v="2024-02-23T00:00:00"/>
    <x v="2"/>
    <x v="1"/>
    <x v="1"/>
    <n v="10"/>
    <n v="588"/>
    <n v="5880"/>
  </r>
  <r>
    <d v="2024-02-24T00:00:00"/>
    <x v="3"/>
    <x v="3"/>
    <x v="0"/>
    <n v="33"/>
    <n v="1288"/>
    <n v="42504"/>
  </r>
  <r>
    <d v="2024-02-25T00:00:00"/>
    <x v="1"/>
    <x v="2"/>
    <x v="5"/>
    <n v="42"/>
    <n v="1677"/>
    <n v="70434"/>
  </r>
  <r>
    <d v="2024-02-26T00:00:00"/>
    <x v="0"/>
    <x v="4"/>
    <x v="2"/>
    <n v="20"/>
    <n v="1900"/>
    <n v="38000"/>
  </r>
  <r>
    <d v="2024-02-27T00:00:00"/>
    <x v="2"/>
    <x v="0"/>
    <x v="4"/>
    <n v="24"/>
    <n v="970"/>
    <n v="23280"/>
  </r>
  <r>
    <d v="2024-02-28T00:00:00"/>
    <x v="3"/>
    <x v="3"/>
    <x v="3"/>
    <n v="31"/>
    <n v="1344"/>
    <n v="4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d v="2024-01-01T00:00:00"/>
    <x v="0"/>
    <s v="Tablet"/>
    <s v="Lina"/>
    <n v="37"/>
    <n v="1747"/>
    <n v="64639"/>
  </r>
  <r>
    <d v="2024-01-02T00:00:00"/>
    <x v="1"/>
    <s v="Headphones"/>
    <s v="Riya"/>
    <n v="12"/>
    <n v="514"/>
    <n v="6168"/>
  </r>
  <r>
    <d v="2024-01-03T00:00:00"/>
    <x v="2"/>
    <s v="Camera"/>
    <s v="Sara"/>
    <n v="41"/>
    <n v="1444"/>
    <n v="59204"/>
  </r>
  <r>
    <d v="2024-01-04T00:00:00"/>
    <x v="3"/>
    <s v="Mobile"/>
    <s v="Amit"/>
    <n v="8"/>
    <n v="1013"/>
    <n v="8104"/>
  </r>
  <r>
    <d v="2024-01-05T00:00:00"/>
    <x v="1"/>
    <s v="Laptop"/>
    <s v="David"/>
    <n v="47"/>
    <n v="1512"/>
    <n v="71064"/>
  </r>
  <r>
    <d v="2024-01-06T00:00:00"/>
    <x v="0"/>
    <s v="Camera"/>
    <s v="John"/>
    <n v="14"/>
    <n v="1753"/>
    <n v="24542"/>
  </r>
  <r>
    <d v="2024-01-07T00:00:00"/>
    <x v="3"/>
    <s v="Mobile"/>
    <s v="Lina"/>
    <n v="50"/>
    <n v="1388"/>
    <n v="69400"/>
  </r>
  <r>
    <d v="2024-01-08T00:00:00"/>
    <x v="0"/>
    <s v="Tablet"/>
    <s v="Sara"/>
    <n v="39"/>
    <n v="1004"/>
    <n v="39156"/>
  </r>
  <r>
    <d v="2024-01-09T00:00:00"/>
    <x v="3"/>
    <s v="Camera"/>
    <s v="Amit"/>
    <n v="22"/>
    <n v="1368"/>
    <n v="30096"/>
  </r>
  <r>
    <d v="2024-01-10T00:00:00"/>
    <x v="2"/>
    <s v="Laptop"/>
    <s v="Riya"/>
    <n v="17"/>
    <n v="1650"/>
    <n v="28050"/>
  </r>
  <r>
    <d v="2024-01-11T00:00:00"/>
    <x v="1"/>
    <s v="Headphones"/>
    <s v="David"/>
    <n v="21"/>
    <n v="584"/>
    <n v="12264"/>
  </r>
  <r>
    <d v="2024-01-12T00:00:00"/>
    <x v="0"/>
    <s v="Camera"/>
    <s v="Lina"/>
    <n v="18"/>
    <n v="1872"/>
    <n v="33696"/>
  </r>
  <r>
    <d v="2024-01-13T00:00:00"/>
    <x v="3"/>
    <s v="Mobile"/>
    <s v="John"/>
    <n v="44"/>
    <n v="1305"/>
    <n v="57420"/>
  </r>
  <r>
    <d v="2024-01-14T00:00:00"/>
    <x v="2"/>
    <s v="Laptop"/>
    <s v="Sara"/>
    <n v="10"/>
    <n v="1788"/>
    <n v="17880"/>
  </r>
  <r>
    <d v="2024-01-15T00:00:00"/>
    <x v="0"/>
    <s v="Tablet"/>
    <s v="Amit"/>
    <n v="13"/>
    <n v="999"/>
    <n v="12987"/>
  </r>
  <r>
    <d v="2024-01-16T00:00:00"/>
    <x v="1"/>
    <s v="Camera"/>
    <s v="David"/>
    <n v="27"/>
    <n v="1801"/>
    <n v="48627"/>
  </r>
  <r>
    <d v="2024-01-17T00:00:00"/>
    <x v="3"/>
    <s v="Mobile"/>
    <s v="Lina"/>
    <n v="48"/>
    <n v="1104"/>
    <n v="52992"/>
  </r>
  <r>
    <d v="2024-01-18T00:00:00"/>
    <x v="2"/>
    <s v="Headphones"/>
    <s v="John"/>
    <n v="25"/>
    <n v="693"/>
    <n v="17325"/>
  </r>
  <r>
    <d v="2024-01-19T00:00:00"/>
    <x v="0"/>
    <s v="Tablet"/>
    <s v="Riya"/>
    <n v="9"/>
    <n v="1112"/>
    <n v="10008"/>
  </r>
  <r>
    <d v="2024-01-20T00:00:00"/>
    <x v="1"/>
    <s v="Camera"/>
    <s v="Sara"/>
    <n v="46"/>
    <n v="1609"/>
    <n v="74014"/>
  </r>
  <r>
    <d v="2024-01-21T00:00:00"/>
    <x v="3"/>
    <s v="Mobile"/>
    <s v="Amit"/>
    <n v="31"/>
    <n v="1520"/>
    <n v="47120"/>
  </r>
  <r>
    <d v="2024-01-22T00:00:00"/>
    <x v="2"/>
    <s v="Laptop"/>
    <s v="David"/>
    <n v="20"/>
    <n v="1875"/>
    <n v="37500"/>
  </r>
  <r>
    <d v="2024-01-23T00:00:00"/>
    <x v="0"/>
    <s v="Headphones"/>
    <s v="Lina"/>
    <n v="11"/>
    <n v="553"/>
    <n v="6083"/>
  </r>
  <r>
    <d v="2024-01-24T00:00:00"/>
    <x v="3"/>
    <s v="Camera"/>
    <s v="Riya"/>
    <n v="34"/>
    <n v="1399"/>
    <n v="47566"/>
  </r>
  <r>
    <d v="2024-01-25T00:00:00"/>
    <x v="1"/>
    <s v="Mobile"/>
    <s v="John"/>
    <n v="28"/>
    <n v="1066"/>
    <n v="29848"/>
  </r>
  <r>
    <d v="2024-01-26T00:00:00"/>
    <x v="2"/>
    <s v="Tablet"/>
    <s v="Sara"/>
    <n v="15"/>
    <n v="945"/>
    <n v="14175"/>
  </r>
  <r>
    <d v="2024-01-27T00:00:00"/>
    <x v="0"/>
    <s v="Camera"/>
    <s v="Amit"/>
    <n v="41"/>
    <n v="1780"/>
    <n v="72980"/>
  </r>
  <r>
    <d v="2024-01-28T00:00:00"/>
    <x v="1"/>
    <s v="Laptop"/>
    <s v="David"/>
    <n v="19"/>
    <n v="1899"/>
    <n v="36081"/>
  </r>
  <r>
    <d v="2024-01-29T00:00:00"/>
    <x v="3"/>
    <s v="Headphones"/>
    <s v="Lina"/>
    <n v="23"/>
    <n v="669"/>
    <n v="15387"/>
  </r>
  <r>
    <d v="2024-01-30T00:00:00"/>
    <x v="2"/>
    <s v="Mobile"/>
    <s v="John"/>
    <n v="36"/>
    <n v="1177"/>
    <n v="42372"/>
  </r>
  <r>
    <d v="2024-01-31T00:00:00"/>
    <x v="0"/>
    <s v="Camera"/>
    <s v="Sara"/>
    <n v="29"/>
    <n v="1650"/>
    <n v="47850"/>
  </r>
  <r>
    <d v="2024-02-01T00:00:00"/>
    <x v="1"/>
    <s v="Tablet"/>
    <s v="Amit"/>
    <n v="17"/>
    <n v="899"/>
    <n v="15283"/>
  </r>
  <r>
    <d v="2024-02-02T00:00:00"/>
    <x v="3"/>
    <s v="Mobile"/>
    <s v="Lina"/>
    <n v="45"/>
    <n v="1240"/>
    <n v="55800"/>
  </r>
  <r>
    <d v="2024-02-03T00:00:00"/>
    <x v="2"/>
    <s v="Headphones"/>
    <s v="David"/>
    <n v="30"/>
    <n v="721"/>
    <n v="21630"/>
  </r>
  <r>
    <d v="2024-02-04T00:00:00"/>
    <x v="1"/>
    <s v="Laptop"/>
    <s v="John"/>
    <n v="50"/>
    <n v="1900"/>
    <n v="95000"/>
  </r>
  <r>
    <d v="2024-02-05T00:00:00"/>
    <x v="0"/>
    <s v="Camera"/>
    <s v="Riya"/>
    <n v="32"/>
    <n v="1550"/>
    <n v="49600"/>
  </r>
  <r>
    <d v="2024-02-06T00:00:00"/>
    <x v="3"/>
    <s v="Tablet"/>
    <s v="Lina"/>
    <n v="44"/>
    <n v="1020"/>
    <n v="44880"/>
  </r>
  <r>
    <d v="2024-02-07T00:00:00"/>
    <x v="2"/>
    <s v="Mobile"/>
    <s v="Sara"/>
    <n v="38"/>
    <n v="1211"/>
    <n v="46018"/>
  </r>
  <r>
    <d v="2024-02-08T00:00:00"/>
    <x v="1"/>
    <s v="Camera"/>
    <s v="Amit"/>
    <n v="14"/>
    <n v="1488"/>
    <n v="20832"/>
  </r>
  <r>
    <d v="2024-02-09T00:00:00"/>
    <x v="3"/>
    <s v="Laptop"/>
    <s v="John"/>
    <n v="22"/>
    <n v="1750"/>
    <n v="38500"/>
  </r>
  <r>
    <d v="2024-02-10T00:00:00"/>
    <x v="0"/>
    <s v="Headphones"/>
    <s v="David"/>
    <n v="7"/>
    <n v="510"/>
    <n v="3570"/>
  </r>
  <r>
    <d v="2024-02-11T00:00:00"/>
    <x v="2"/>
    <s v="Mobile"/>
    <s v="Riya"/>
    <n v="28"/>
    <n v="1330"/>
    <n v="37240"/>
  </r>
  <r>
    <d v="2024-02-12T00:00:00"/>
    <x v="1"/>
    <s v="Camera"/>
    <s v="Sara"/>
    <n v="40"/>
    <n v="1800"/>
    <n v="72000"/>
  </r>
  <r>
    <d v="2024-02-13T00:00:00"/>
    <x v="3"/>
    <s v="Tablet"/>
    <s v="Amit"/>
    <n v="26"/>
    <n v="945"/>
    <n v="24570"/>
  </r>
  <r>
    <d v="2024-02-14T00:00:00"/>
    <x v="0"/>
    <s v="Mobile"/>
    <s v="John"/>
    <n v="34"/>
    <n v="1122"/>
    <n v="38148"/>
  </r>
  <r>
    <d v="2024-02-15T00:00:00"/>
    <x v="2"/>
    <s v="Camera"/>
    <s v="Lina"/>
    <n v="16"/>
    <n v="1700"/>
    <n v="27200"/>
  </r>
  <r>
    <d v="2024-02-16T00:00:00"/>
    <x v="1"/>
    <s v="Laptop"/>
    <s v="David"/>
    <n v="21"/>
    <n v="1555"/>
    <n v="32655"/>
  </r>
  <r>
    <d v="2024-02-17T00:00:00"/>
    <x v="3"/>
    <s v="Headphones"/>
    <s v="Riya"/>
    <n v="13"/>
    <n v="602"/>
    <n v="7826"/>
  </r>
  <r>
    <d v="2024-02-18T00:00:00"/>
    <x v="0"/>
    <s v="Camera"/>
    <s v="Sara"/>
    <n v="49"/>
    <n v="1660"/>
    <n v="81340"/>
  </r>
  <r>
    <d v="2024-02-19T00:00:00"/>
    <x v="2"/>
    <s v="Mobile"/>
    <s v="Lina"/>
    <n v="30"/>
    <n v="1099"/>
    <n v="32970"/>
  </r>
  <r>
    <d v="2024-02-20T00:00:00"/>
    <x v="1"/>
    <s v="Tablet"/>
    <s v="John"/>
    <n v="18"/>
    <n v="1001"/>
    <n v="18018"/>
  </r>
  <r>
    <d v="2024-02-21T00:00:00"/>
    <x v="3"/>
    <s v="Camera"/>
    <s v="David"/>
    <n v="37"/>
    <n v="1577"/>
    <n v="58349"/>
  </r>
  <r>
    <d v="2024-02-22T00:00:00"/>
    <x v="0"/>
    <s v="Laptop"/>
    <s v="Amit"/>
    <n v="29"/>
    <n v="1820"/>
    <n v="52780"/>
  </r>
  <r>
    <d v="2024-02-23T00:00:00"/>
    <x v="2"/>
    <s v="Headphones"/>
    <s v="Riya"/>
    <n v="10"/>
    <n v="588"/>
    <n v="5880"/>
  </r>
  <r>
    <d v="2024-02-24T00:00:00"/>
    <x v="3"/>
    <s v="Mobile"/>
    <s v="Lina"/>
    <n v="33"/>
    <n v="1288"/>
    <n v="42504"/>
  </r>
  <r>
    <d v="2024-02-25T00:00:00"/>
    <x v="1"/>
    <s v="Camera"/>
    <s v="John"/>
    <n v="42"/>
    <n v="1677"/>
    <n v="70434"/>
  </r>
  <r>
    <d v="2024-02-26T00:00:00"/>
    <x v="0"/>
    <s v="Laptop"/>
    <s v="Sara"/>
    <n v="20"/>
    <n v="1900"/>
    <n v="38000"/>
  </r>
  <r>
    <d v="2024-02-27T00:00:00"/>
    <x v="2"/>
    <s v="Tablet"/>
    <s v="David"/>
    <n v="24"/>
    <n v="970"/>
    <n v="23280"/>
  </r>
  <r>
    <d v="2024-02-28T00:00:00"/>
    <x v="3"/>
    <s v="Mobile"/>
    <s v="Amit"/>
    <n v="31"/>
    <n v="1344"/>
    <n v="4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s v="Tablet"/>
    <x v="0"/>
    <n v="37"/>
    <n v="1747"/>
    <n v="64639"/>
  </r>
  <r>
    <x v="1"/>
    <x v="1"/>
    <s v="Headphones"/>
    <x v="1"/>
    <n v="12"/>
    <n v="514"/>
    <n v="6168"/>
  </r>
  <r>
    <x v="2"/>
    <x v="2"/>
    <s v="Camera"/>
    <x v="2"/>
    <n v="41"/>
    <n v="1444"/>
    <n v="59204"/>
  </r>
  <r>
    <x v="3"/>
    <x v="3"/>
    <s v="Mobile"/>
    <x v="3"/>
    <n v="8"/>
    <n v="1013"/>
    <n v="8104"/>
  </r>
  <r>
    <x v="4"/>
    <x v="1"/>
    <s v="Laptop"/>
    <x v="4"/>
    <n v="47"/>
    <n v="1512"/>
    <n v="71064"/>
  </r>
  <r>
    <x v="5"/>
    <x v="0"/>
    <s v="Camera"/>
    <x v="5"/>
    <n v="14"/>
    <n v="1753"/>
    <n v="24542"/>
  </r>
  <r>
    <x v="6"/>
    <x v="3"/>
    <s v="Mobile"/>
    <x v="0"/>
    <n v="50"/>
    <n v="1388"/>
    <n v="69400"/>
  </r>
  <r>
    <x v="7"/>
    <x v="0"/>
    <s v="Tablet"/>
    <x v="2"/>
    <n v="39"/>
    <n v="1004"/>
    <n v="39156"/>
  </r>
  <r>
    <x v="8"/>
    <x v="3"/>
    <s v="Camera"/>
    <x v="3"/>
    <n v="22"/>
    <n v="1368"/>
    <n v="30096"/>
  </r>
  <r>
    <x v="9"/>
    <x v="2"/>
    <s v="Laptop"/>
    <x v="1"/>
    <n v="17"/>
    <n v="1650"/>
    <n v="28050"/>
  </r>
  <r>
    <x v="10"/>
    <x v="1"/>
    <s v="Headphones"/>
    <x v="4"/>
    <n v="21"/>
    <n v="584"/>
    <n v="12264"/>
  </r>
  <r>
    <x v="11"/>
    <x v="0"/>
    <s v="Camera"/>
    <x v="0"/>
    <n v="18"/>
    <n v="1872"/>
    <n v="33696"/>
  </r>
  <r>
    <x v="12"/>
    <x v="3"/>
    <s v="Mobile"/>
    <x v="5"/>
    <n v="44"/>
    <n v="1305"/>
    <n v="57420"/>
  </r>
  <r>
    <x v="13"/>
    <x v="2"/>
    <s v="Laptop"/>
    <x v="2"/>
    <n v="10"/>
    <n v="1788"/>
    <n v="17880"/>
  </r>
  <r>
    <x v="14"/>
    <x v="0"/>
    <s v="Tablet"/>
    <x v="3"/>
    <n v="13"/>
    <n v="999"/>
    <n v="12987"/>
  </r>
  <r>
    <x v="15"/>
    <x v="1"/>
    <s v="Camera"/>
    <x v="4"/>
    <n v="27"/>
    <n v="1801"/>
    <n v="48627"/>
  </r>
  <r>
    <x v="16"/>
    <x v="3"/>
    <s v="Mobile"/>
    <x v="0"/>
    <n v="48"/>
    <n v="1104"/>
    <n v="52992"/>
  </r>
  <r>
    <x v="17"/>
    <x v="2"/>
    <s v="Headphones"/>
    <x v="5"/>
    <n v="25"/>
    <n v="693"/>
    <n v="17325"/>
  </r>
  <r>
    <x v="18"/>
    <x v="0"/>
    <s v="Tablet"/>
    <x v="1"/>
    <n v="9"/>
    <n v="1112"/>
    <n v="10008"/>
  </r>
  <r>
    <x v="19"/>
    <x v="1"/>
    <s v="Camera"/>
    <x v="2"/>
    <n v="46"/>
    <n v="1609"/>
    <n v="74014"/>
  </r>
  <r>
    <x v="20"/>
    <x v="3"/>
    <s v="Mobile"/>
    <x v="3"/>
    <n v="31"/>
    <n v="1520"/>
    <n v="47120"/>
  </r>
  <r>
    <x v="21"/>
    <x v="2"/>
    <s v="Laptop"/>
    <x v="4"/>
    <n v="20"/>
    <n v="1875"/>
    <n v="37500"/>
  </r>
  <r>
    <x v="22"/>
    <x v="0"/>
    <s v="Headphones"/>
    <x v="0"/>
    <n v="11"/>
    <n v="553"/>
    <n v="6083"/>
  </r>
  <r>
    <x v="23"/>
    <x v="3"/>
    <s v="Camera"/>
    <x v="1"/>
    <n v="34"/>
    <n v="1399"/>
    <n v="47566"/>
  </r>
  <r>
    <x v="24"/>
    <x v="1"/>
    <s v="Mobile"/>
    <x v="5"/>
    <n v="28"/>
    <n v="1066"/>
    <n v="29848"/>
  </r>
  <r>
    <x v="25"/>
    <x v="2"/>
    <s v="Tablet"/>
    <x v="2"/>
    <n v="15"/>
    <n v="945"/>
    <n v="14175"/>
  </r>
  <r>
    <x v="26"/>
    <x v="0"/>
    <s v="Camera"/>
    <x v="3"/>
    <n v="41"/>
    <n v="1780"/>
    <n v="72980"/>
  </r>
  <r>
    <x v="27"/>
    <x v="1"/>
    <s v="Laptop"/>
    <x v="4"/>
    <n v="19"/>
    <n v="1899"/>
    <n v="36081"/>
  </r>
  <r>
    <x v="28"/>
    <x v="3"/>
    <s v="Headphones"/>
    <x v="0"/>
    <n v="23"/>
    <n v="669"/>
    <n v="15387"/>
  </r>
  <r>
    <x v="29"/>
    <x v="2"/>
    <s v="Mobile"/>
    <x v="5"/>
    <n v="36"/>
    <n v="1177"/>
    <n v="42372"/>
  </r>
  <r>
    <x v="30"/>
    <x v="0"/>
    <s v="Camera"/>
    <x v="2"/>
    <n v="29"/>
    <n v="1650"/>
    <n v="47850"/>
  </r>
  <r>
    <x v="31"/>
    <x v="1"/>
    <s v="Tablet"/>
    <x v="3"/>
    <n v="17"/>
    <n v="899"/>
    <n v="15283"/>
  </r>
  <r>
    <x v="32"/>
    <x v="3"/>
    <s v="Mobile"/>
    <x v="0"/>
    <n v="45"/>
    <n v="1240"/>
    <n v="55800"/>
  </r>
  <r>
    <x v="33"/>
    <x v="2"/>
    <s v="Headphones"/>
    <x v="4"/>
    <n v="30"/>
    <n v="721"/>
    <n v="21630"/>
  </r>
  <r>
    <x v="34"/>
    <x v="1"/>
    <s v="Laptop"/>
    <x v="5"/>
    <n v="50"/>
    <n v="1900"/>
    <n v="95000"/>
  </r>
  <r>
    <x v="35"/>
    <x v="0"/>
    <s v="Camera"/>
    <x v="1"/>
    <n v="32"/>
    <n v="1550"/>
    <n v="49600"/>
  </r>
  <r>
    <x v="36"/>
    <x v="3"/>
    <s v="Tablet"/>
    <x v="0"/>
    <n v="44"/>
    <n v="1020"/>
    <n v="44880"/>
  </r>
  <r>
    <x v="37"/>
    <x v="2"/>
    <s v="Mobile"/>
    <x v="2"/>
    <n v="38"/>
    <n v="1211"/>
    <n v="46018"/>
  </r>
  <r>
    <x v="38"/>
    <x v="1"/>
    <s v="Camera"/>
    <x v="3"/>
    <n v="14"/>
    <n v="1488"/>
    <n v="20832"/>
  </r>
  <r>
    <x v="39"/>
    <x v="3"/>
    <s v="Laptop"/>
    <x v="5"/>
    <n v="22"/>
    <n v="1750"/>
    <n v="38500"/>
  </r>
  <r>
    <x v="40"/>
    <x v="0"/>
    <s v="Headphones"/>
    <x v="4"/>
    <n v="7"/>
    <n v="510"/>
    <n v="3570"/>
  </r>
  <r>
    <x v="41"/>
    <x v="2"/>
    <s v="Mobile"/>
    <x v="1"/>
    <n v="28"/>
    <n v="1330"/>
    <n v="37240"/>
  </r>
  <r>
    <x v="42"/>
    <x v="1"/>
    <s v="Camera"/>
    <x v="2"/>
    <n v="40"/>
    <n v="1800"/>
    <n v="72000"/>
  </r>
  <r>
    <x v="43"/>
    <x v="3"/>
    <s v="Tablet"/>
    <x v="3"/>
    <n v="26"/>
    <n v="945"/>
    <n v="24570"/>
  </r>
  <r>
    <x v="44"/>
    <x v="0"/>
    <s v="Mobile"/>
    <x v="5"/>
    <n v="34"/>
    <n v="1122"/>
    <n v="38148"/>
  </r>
  <r>
    <x v="45"/>
    <x v="2"/>
    <s v="Camera"/>
    <x v="0"/>
    <n v="16"/>
    <n v="1700"/>
    <n v="27200"/>
  </r>
  <r>
    <x v="46"/>
    <x v="1"/>
    <s v="Laptop"/>
    <x v="4"/>
    <n v="21"/>
    <n v="1555"/>
    <n v="32655"/>
  </r>
  <r>
    <x v="47"/>
    <x v="3"/>
    <s v="Headphones"/>
    <x v="1"/>
    <n v="13"/>
    <n v="602"/>
    <n v="7826"/>
  </r>
  <r>
    <x v="48"/>
    <x v="0"/>
    <s v="Camera"/>
    <x v="2"/>
    <n v="49"/>
    <n v="1660"/>
    <n v="81340"/>
  </r>
  <r>
    <x v="49"/>
    <x v="2"/>
    <s v="Mobile"/>
    <x v="0"/>
    <n v="30"/>
    <n v="1099"/>
    <n v="32970"/>
  </r>
  <r>
    <x v="50"/>
    <x v="1"/>
    <s v="Tablet"/>
    <x v="5"/>
    <n v="18"/>
    <n v="1001"/>
    <n v="18018"/>
  </r>
  <r>
    <x v="51"/>
    <x v="3"/>
    <s v="Camera"/>
    <x v="4"/>
    <n v="37"/>
    <n v="1577"/>
    <n v="58349"/>
  </r>
  <r>
    <x v="52"/>
    <x v="0"/>
    <s v="Laptop"/>
    <x v="3"/>
    <n v="29"/>
    <n v="1820"/>
    <n v="52780"/>
  </r>
  <r>
    <x v="53"/>
    <x v="2"/>
    <s v="Headphones"/>
    <x v="1"/>
    <n v="10"/>
    <n v="588"/>
    <n v="5880"/>
  </r>
  <r>
    <x v="54"/>
    <x v="3"/>
    <s v="Mobile"/>
    <x v="0"/>
    <n v="33"/>
    <n v="1288"/>
    <n v="42504"/>
  </r>
  <r>
    <x v="55"/>
    <x v="1"/>
    <s v="Camera"/>
    <x v="5"/>
    <n v="42"/>
    <n v="1677"/>
    <n v="70434"/>
  </r>
  <r>
    <x v="56"/>
    <x v="0"/>
    <s v="Laptop"/>
    <x v="2"/>
    <n v="20"/>
    <n v="1900"/>
    <n v="38000"/>
  </r>
  <r>
    <x v="57"/>
    <x v="2"/>
    <s v="Tablet"/>
    <x v="4"/>
    <n v="24"/>
    <n v="970"/>
    <n v="23280"/>
  </r>
  <r>
    <x v="58"/>
    <x v="3"/>
    <s v="Mobile"/>
    <x v="3"/>
    <n v="31"/>
    <n v="1344"/>
    <n v="4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s v="South"/>
    <x v="0"/>
    <s v="Lina"/>
    <n v="37"/>
    <n v="1747"/>
    <n v="64639"/>
    <n v="2024"/>
  </r>
  <r>
    <x v="1"/>
    <s v="North"/>
    <x v="1"/>
    <s v="Riya"/>
    <n v="12"/>
    <n v="514"/>
    <n v="6168"/>
    <n v="2024"/>
  </r>
  <r>
    <x v="2"/>
    <s v="West"/>
    <x v="2"/>
    <s v="Sara"/>
    <n v="41"/>
    <n v="1444"/>
    <n v="59204"/>
    <n v="2024"/>
  </r>
  <r>
    <x v="3"/>
    <s v="East"/>
    <x v="3"/>
    <s v="Amit"/>
    <n v="8"/>
    <n v="1013"/>
    <n v="8104"/>
    <n v="2024"/>
  </r>
  <r>
    <x v="4"/>
    <s v="North"/>
    <x v="4"/>
    <s v="David"/>
    <n v="47"/>
    <n v="1512"/>
    <n v="71064"/>
    <n v="2024"/>
  </r>
  <r>
    <x v="5"/>
    <s v="South"/>
    <x v="2"/>
    <s v="John"/>
    <n v="14"/>
    <n v="1753"/>
    <n v="24542"/>
    <n v="2024"/>
  </r>
  <r>
    <x v="6"/>
    <s v="East"/>
    <x v="3"/>
    <s v="Lina"/>
    <n v="50"/>
    <n v="1388"/>
    <n v="69400"/>
    <n v="2024"/>
  </r>
  <r>
    <x v="7"/>
    <s v="South"/>
    <x v="0"/>
    <s v="Sara"/>
    <n v="39"/>
    <n v="1004"/>
    <n v="39156"/>
    <n v="2024"/>
  </r>
  <r>
    <x v="8"/>
    <s v="East"/>
    <x v="2"/>
    <s v="Amit"/>
    <n v="22"/>
    <n v="1368"/>
    <n v="30096"/>
    <n v="2024"/>
  </r>
  <r>
    <x v="9"/>
    <s v="West"/>
    <x v="4"/>
    <s v="Riya"/>
    <n v="17"/>
    <n v="1650"/>
    <n v="28050"/>
    <n v="2024"/>
  </r>
  <r>
    <x v="10"/>
    <s v="North"/>
    <x v="1"/>
    <s v="David"/>
    <n v="21"/>
    <n v="584"/>
    <n v="12264"/>
    <n v="2024"/>
  </r>
  <r>
    <x v="11"/>
    <s v="South"/>
    <x v="2"/>
    <s v="Lina"/>
    <n v="18"/>
    <n v="1872"/>
    <n v="33696"/>
    <n v="2024"/>
  </r>
  <r>
    <x v="12"/>
    <s v="East"/>
    <x v="3"/>
    <s v="John"/>
    <n v="44"/>
    <n v="1305"/>
    <n v="57420"/>
    <n v="2024"/>
  </r>
  <r>
    <x v="13"/>
    <s v="West"/>
    <x v="4"/>
    <s v="Sara"/>
    <n v="10"/>
    <n v="1788"/>
    <n v="17880"/>
    <n v="2024"/>
  </r>
  <r>
    <x v="14"/>
    <s v="South"/>
    <x v="0"/>
    <s v="Amit"/>
    <n v="13"/>
    <n v="999"/>
    <n v="12987"/>
    <n v="2024"/>
  </r>
  <r>
    <x v="15"/>
    <s v="North"/>
    <x v="2"/>
    <s v="David"/>
    <n v="27"/>
    <n v="1801"/>
    <n v="48627"/>
    <n v="2024"/>
  </r>
  <r>
    <x v="16"/>
    <s v="East"/>
    <x v="3"/>
    <s v="Lina"/>
    <n v="48"/>
    <n v="1104"/>
    <n v="52992"/>
    <n v="2024"/>
  </r>
  <r>
    <x v="17"/>
    <s v="West"/>
    <x v="1"/>
    <s v="John"/>
    <n v="25"/>
    <n v="693"/>
    <n v="17325"/>
    <n v="2024"/>
  </r>
  <r>
    <x v="18"/>
    <s v="South"/>
    <x v="0"/>
    <s v="Riya"/>
    <n v="9"/>
    <n v="1112"/>
    <n v="10008"/>
    <n v="2024"/>
  </r>
  <r>
    <x v="19"/>
    <s v="North"/>
    <x v="2"/>
    <s v="Sara"/>
    <n v="46"/>
    <n v="1609"/>
    <n v="74014"/>
    <n v="2024"/>
  </r>
  <r>
    <x v="20"/>
    <s v="East"/>
    <x v="3"/>
    <s v="Amit"/>
    <n v="31"/>
    <n v="1520"/>
    <n v="47120"/>
    <n v="2024"/>
  </r>
  <r>
    <x v="21"/>
    <s v="West"/>
    <x v="4"/>
    <s v="David"/>
    <n v="20"/>
    <n v="1875"/>
    <n v="37500"/>
    <n v="2024"/>
  </r>
  <r>
    <x v="22"/>
    <s v="South"/>
    <x v="1"/>
    <s v="Lina"/>
    <n v="11"/>
    <n v="553"/>
    <n v="6083"/>
    <n v="2024"/>
  </r>
  <r>
    <x v="23"/>
    <s v="East"/>
    <x v="2"/>
    <s v="Riya"/>
    <n v="34"/>
    <n v="1399"/>
    <n v="47566"/>
    <n v="2024"/>
  </r>
  <r>
    <x v="24"/>
    <s v="North"/>
    <x v="3"/>
    <s v="John"/>
    <n v="28"/>
    <n v="1066"/>
    <n v="29848"/>
    <n v="2024"/>
  </r>
  <r>
    <x v="25"/>
    <s v="West"/>
    <x v="0"/>
    <s v="Sara"/>
    <n v="15"/>
    <n v="945"/>
    <n v="14175"/>
    <n v="2024"/>
  </r>
  <r>
    <x v="26"/>
    <s v="South"/>
    <x v="2"/>
    <s v="Amit"/>
    <n v="41"/>
    <n v="1780"/>
    <n v="72980"/>
    <n v="2024"/>
  </r>
  <r>
    <x v="27"/>
    <s v="North"/>
    <x v="4"/>
    <s v="David"/>
    <n v="19"/>
    <n v="1899"/>
    <n v="36081"/>
    <n v="2024"/>
  </r>
  <r>
    <x v="28"/>
    <s v="East"/>
    <x v="1"/>
    <s v="Lina"/>
    <n v="23"/>
    <n v="669"/>
    <n v="15387"/>
    <n v="2024"/>
  </r>
  <r>
    <x v="29"/>
    <s v="West"/>
    <x v="3"/>
    <s v="John"/>
    <n v="36"/>
    <n v="1177"/>
    <n v="42372"/>
    <n v="2024"/>
  </r>
  <r>
    <x v="30"/>
    <s v="South"/>
    <x v="2"/>
    <s v="Sara"/>
    <n v="29"/>
    <n v="1650"/>
    <n v="47850"/>
    <n v="2024"/>
  </r>
  <r>
    <x v="31"/>
    <s v="North"/>
    <x v="0"/>
    <s v="Amit"/>
    <n v="17"/>
    <n v="899"/>
    <n v="15283"/>
    <n v="2024"/>
  </r>
  <r>
    <x v="32"/>
    <s v="East"/>
    <x v="3"/>
    <s v="Lina"/>
    <n v="45"/>
    <n v="1240"/>
    <n v="55800"/>
    <n v="2024"/>
  </r>
  <r>
    <x v="33"/>
    <s v="West"/>
    <x v="1"/>
    <s v="David"/>
    <n v="30"/>
    <n v="721"/>
    <n v="21630"/>
    <n v="2024"/>
  </r>
  <r>
    <x v="34"/>
    <s v="North"/>
    <x v="4"/>
    <s v="John"/>
    <n v="50"/>
    <n v="1900"/>
    <n v="95000"/>
    <n v="2024"/>
  </r>
  <r>
    <x v="35"/>
    <s v="South"/>
    <x v="2"/>
    <s v="Riya"/>
    <n v="32"/>
    <n v="1550"/>
    <n v="49600"/>
    <n v="2024"/>
  </r>
  <r>
    <x v="36"/>
    <s v="East"/>
    <x v="0"/>
    <s v="Lina"/>
    <n v="44"/>
    <n v="1020"/>
    <n v="44880"/>
    <n v="2024"/>
  </r>
  <r>
    <x v="37"/>
    <s v="West"/>
    <x v="3"/>
    <s v="Sara"/>
    <n v="38"/>
    <n v="1211"/>
    <n v="46018"/>
    <n v="2024"/>
  </r>
  <r>
    <x v="38"/>
    <s v="North"/>
    <x v="2"/>
    <s v="Amit"/>
    <n v="14"/>
    <n v="1488"/>
    <n v="20832"/>
    <n v="2024"/>
  </r>
  <r>
    <x v="39"/>
    <s v="East"/>
    <x v="4"/>
    <s v="John"/>
    <n v="22"/>
    <n v="1750"/>
    <n v="38500"/>
    <n v="2024"/>
  </r>
  <r>
    <x v="40"/>
    <s v="South"/>
    <x v="1"/>
    <s v="David"/>
    <n v="7"/>
    <n v="510"/>
    <n v="3570"/>
    <n v="2024"/>
  </r>
  <r>
    <x v="41"/>
    <s v="West"/>
    <x v="3"/>
    <s v="Riya"/>
    <n v="28"/>
    <n v="1330"/>
    <n v="37240"/>
    <n v="2024"/>
  </r>
  <r>
    <x v="42"/>
    <s v="North"/>
    <x v="2"/>
    <s v="Sara"/>
    <n v="40"/>
    <n v="1800"/>
    <n v="72000"/>
    <n v="2025"/>
  </r>
  <r>
    <x v="43"/>
    <s v="East"/>
    <x v="0"/>
    <s v="Amit"/>
    <n v="26"/>
    <n v="945"/>
    <n v="24570"/>
    <n v="2025"/>
  </r>
  <r>
    <x v="44"/>
    <s v="South"/>
    <x v="3"/>
    <s v="John"/>
    <n v="34"/>
    <n v="1122"/>
    <n v="38148"/>
    <n v="2025"/>
  </r>
  <r>
    <x v="45"/>
    <s v="West"/>
    <x v="2"/>
    <s v="Lina"/>
    <n v="16"/>
    <n v="1700"/>
    <n v="27200"/>
    <n v="2025"/>
  </r>
  <r>
    <x v="46"/>
    <s v="North"/>
    <x v="4"/>
    <s v="David"/>
    <n v="21"/>
    <n v="1555"/>
    <n v="32655"/>
    <n v="2025"/>
  </r>
  <r>
    <x v="47"/>
    <s v="East"/>
    <x v="1"/>
    <s v="Riya"/>
    <n v="13"/>
    <n v="602"/>
    <n v="7826"/>
    <n v="2025"/>
  </r>
  <r>
    <x v="48"/>
    <s v="South"/>
    <x v="2"/>
    <s v="Sara"/>
    <n v="49"/>
    <n v="1660"/>
    <n v="81340"/>
    <n v="2025"/>
  </r>
  <r>
    <x v="49"/>
    <s v="West"/>
    <x v="3"/>
    <s v="Lina"/>
    <n v="30"/>
    <n v="1099"/>
    <n v="32970"/>
    <n v="2025"/>
  </r>
  <r>
    <x v="50"/>
    <s v="North"/>
    <x v="0"/>
    <s v="John"/>
    <n v="18"/>
    <n v="1001"/>
    <n v="18018"/>
    <n v="2025"/>
  </r>
  <r>
    <x v="51"/>
    <s v="East"/>
    <x v="2"/>
    <s v="David"/>
    <n v="37"/>
    <n v="1577"/>
    <n v="58349"/>
    <n v="2025"/>
  </r>
  <r>
    <x v="52"/>
    <s v="South"/>
    <x v="4"/>
    <s v="Amit"/>
    <n v="29"/>
    <n v="1820"/>
    <n v="52780"/>
    <n v="2025"/>
  </r>
  <r>
    <x v="53"/>
    <s v="West"/>
    <x v="1"/>
    <s v="Riya"/>
    <n v="10"/>
    <n v="588"/>
    <n v="5880"/>
    <n v="2026"/>
  </r>
  <r>
    <x v="54"/>
    <s v="East"/>
    <x v="3"/>
    <s v="Lina"/>
    <n v="33"/>
    <n v="1288"/>
    <n v="42504"/>
    <n v="2026"/>
  </r>
  <r>
    <x v="55"/>
    <s v="North"/>
    <x v="2"/>
    <s v="John"/>
    <n v="42"/>
    <n v="1677"/>
    <n v="70434"/>
    <n v="2026"/>
  </r>
  <r>
    <x v="56"/>
    <s v="South"/>
    <x v="4"/>
    <s v="Sara"/>
    <n v="20"/>
    <n v="1900"/>
    <n v="38000"/>
    <n v="2026"/>
  </r>
  <r>
    <x v="57"/>
    <s v="West"/>
    <x v="0"/>
    <s v="David"/>
    <n v="24"/>
    <n v="970"/>
    <n v="23280"/>
    <n v="2026"/>
  </r>
  <r>
    <x v="58"/>
    <s v="East"/>
    <x v="3"/>
    <s v="Amit"/>
    <n v="31"/>
    <n v="1344"/>
    <n v="417"/>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9485D-2C42-4EFC-9353-1E54A90710C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1" firstHeaderRow="1" firstDataRow="1" firstDataCol="1"/>
  <pivotFields count="7">
    <pivotField numFmtId="14" showAll="0"/>
    <pivotField axis="axisRow" showAll="0">
      <items count="5">
        <item x="3"/>
        <item x="1"/>
        <item x="0"/>
        <item x="2"/>
        <item t="default"/>
      </items>
    </pivotField>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Total_Sale" fld="6"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A2C1A1-7F31-44DA-B8F0-0D2ACE186F3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7">
    <pivotField numFmtId="14" showAll="0"/>
    <pivotField axis="axisRow" showAll="0">
      <items count="5">
        <item x="3"/>
        <item x="1"/>
        <item x="0"/>
        <item x="2"/>
        <item t="default"/>
      </items>
    </pivotField>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Units_Sold" fld="4"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4D157-4772-4675-AA49-A9F6374727F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1" firstHeaderRow="1" firstDataRow="2" firstDataCol="1"/>
  <pivotFields count="7">
    <pivotField axis="axisRow"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Col" showAll="0">
      <items count="5">
        <item x="3"/>
        <item x="1"/>
        <item x="0"/>
        <item x="2"/>
        <item t="default"/>
      </items>
    </pivotField>
    <pivotField showAll="0"/>
    <pivotField axis="axisRow" showAll="0">
      <items count="7">
        <item sd="0" x="3"/>
        <item sd="0" x="4"/>
        <item sd="0" x="5"/>
        <item sd="0" x="0"/>
        <item sd="0" x="1"/>
        <item sd="0" x="2"/>
        <item t="default" sd="0"/>
      </items>
    </pivotField>
    <pivotField showAll="0"/>
    <pivotField showAll="0"/>
    <pivotField dataField="1" showAll="0"/>
  </pivotFields>
  <rowFields count="2">
    <field x="3"/>
    <field x="0"/>
  </rowFields>
  <rowItems count="7">
    <i>
      <x/>
    </i>
    <i>
      <x v="1"/>
    </i>
    <i>
      <x v="2"/>
    </i>
    <i>
      <x v="3"/>
    </i>
    <i>
      <x v="4"/>
    </i>
    <i>
      <x v="5"/>
    </i>
    <i t="grand">
      <x/>
    </i>
  </rowItems>
  <colFields count="1">
    <field x="1"/>
  </colFields>
  <colItems count="5">
    <i>
      <x/>
    </i>
    <i>
      <x v="1"/>
    </i>
    <i>
      <x v="2"/>
    </i>
    <i>
      <x v="3"/>
    </i>
    <i t="grand">
      <x/>
    </i>
  </colItems>
  <dataFields count="1">
    <dataField name="Sum of Total_Sale" fld="6"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182268-4254-4A6B-9738-BC152710E461}" name="PivotTable4"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9" firstHeaderRow="1" firstDataRow="1" firstDataCol="1"/>
  <pivotFields count="8">
    <pivotField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axis="axisRow" showAll="0">
      <items count="6">
        <item x="2"/>
        <item x="1"/>
        <item x="4"/>
        <item x="3"/>
        <item x="0"/>
        <item t="default"/>
      </items>
    </pivotField>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Total_Sale" fld="6" baseField="0" baseItem="0"/>
  </dataField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1E8C6-78E1-44D3-8D08-07D47D5A383A}" name="salesperson"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0:C27" firstHeaderRow="1" firstDataRow="1" firstDataCol="1"/>
  <pivotFields count="7">
    <pivotField numFmtId="14" showAll="0"/>
    <pivotField showAll="0"/>
    <pivotField showAll="0">
      <items count="6">
        <item h="1" x="2"/>
        <item h="1" x="1"/>
        <item h="1" x="4"/>
        <item h="1" x="3"/>
        <item x="0"/>
        <item t="default"/>
      </items>
    </pivotField>
    <pivotField axis="axisRow" showAll="0">
      <items count="7">
        <item x="3"/>
        <item x="4"/>
        <item x="5"/>
        <item x="0"/>
        <item x="1"/>
        <item x="2"/>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EE6F18-E2A5-43A0-9ED9-23EF41357E3E}" name="PivotTable2"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8" firstHeaderRow="1" firstDataRow="1" firstDataCol="1"/>
  <pivotFields count="7">
    <pivotField numFmtId="14" showAll="0"/>
    <pivotField axis="axisRow" showAll="0">
      <items count="5">
        <item x="3"/>
        <item x="1"/>
        <item x="0"/>
        <item x="2"/>
        <item t="default"/>
      </items>
    </pivotField>
    <pivotField showAll="0">
      <items count="6">
        <item h="1" x="2"/>
        <item h="1" x="1"/>
        <item h="1" x="4"/>
        <item h="1" x="3"/>
        <item x="0"/>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Sum of Total_Sal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FF9810-E9A4-4040-A1C5-A9D3F16A9D3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7">
    <pivotField numFmtId="14" showAll="0"/>
    <pivotField showAll="0">
      <items count="5">
        <item x="3"/>
        <item x="1"/>
        <item x="0"/>
        <item x="2"/>
        <item t="default"/>
      </items>
    </pivotField>
    <pivotField showAll="0">
      <items count="6">
        <item x="2"/>
        <item x="1"/>
        <item x="4"/>
        <item x="3"/>
        <item x="0"/>
        <item t="default"/>
      </items>
    </pivotField>
    <pivotField axis="axisRow" showAll="0">
      <items count="7">
        <item x="3"/>
        <item x="4"/>
        <item x="5"/>
        <item x="0"/>
        <item x="1"/>
        <item x="2"/>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Sum of Units_Sold" fld="4" baseField="3" baseItem="0"/>
  </dataFields>
  <chartFormats count="2">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Dark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B1449F-15E7-4132-9E13-99DEEE47185B}" sourceName="Product">
  <pivotTables>
    <pivotTable tabId="3" name="PivotTable2"/>
    <pivotTable tabId="3" name="salesperson"/>
  </pivotTables>
  <data>
    <tabular pivotCacheId="977216635">
      <items count="5">
        <i x="2"/>
        <i x="1"/>
        <i x="4"/>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CD2EF75-F97A-4777-88C5-41B76CB2D748}" cache="Slicer_Product" caption="Product"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CE7A299-B0FD-4CAA-866C-2AB6DBA8267E}" sourceName="Date">
  <pivotTables>
    <pivotTable tabId="7" name="PivotTable4"/>
  </pivotTables>
  <state minimalRefreshVersion="6" lastRefreshVersion="6" pivotCacheId="691698920" filterType="dateBetween">
    <selection startDate="2024-01-01T00:00:00" endDate="2024-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ECDCC39-149C-4D0A-A107-E32FE68744B7}" cache="NativeTimeline_Date" caption="Date" level="0" selectionLevel="0" scrollPosition="2024-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93AB-70D3-4CB9-AB2E-31682B3EC923}">
  <dimension ref="A1:U29"/>
  <sheetViews>
    <sheetView showGridLines="0" showRowColHeaders="0" tabSelected="1" zoomScale="145" zoomScaleNormal="145" workbookViewId="0">
      <selection activeCell="K22" sqref="K22"/>
    </sheetView>
  </sheetViews>
  <sheetFormatPr defaultRowHeight="15" x14ac:dyDescent="0.25"/>
  <cols>
    <col min="4" max="4" width="16.85546875" bestFit="1" customWidth="1"/>
  </cols>
  <sheetData>
    <row r="1" spans="1:21" x14ac:dyDescent="0.25">
      <c r="A1" s="9"/>
      <c r="B1" s="9"/>
      <c r="C1" s="9"/>
      <c r="D1" s="9"/>
      <c r="E1" s="9"/>
      <c r="F1" s="9"/>
      <c r="G1" s="10" t="s">
        <v>27</v>
      </c>
      <c r="H1" s="10"/>
      <c r="I1" s="10"/>
      <c r="J1" s="10"/>
      <c r="K1" s="10"/>
      <c r="L1" s="10"/>
      <c r="M1" s="10"/>
      <c r="N1" s="10"/>
      <c r="O1" s="9"/>
      <c r="P1" s="9"/>
      <c r="Q1" s="9"/>
      <c r="R1" s="9"/>
      <c r="S1" s="9"/>
      <c r="T1" s="9"/>
      <c r="U1" s="9"/>
    </row>
    <row r="2" spans="1:21" x14ac:dyDescent="0.25">
      <c r="A2" s="9"/>
      <c r="B2" s="9"/>
      <c r="C2" s="9"/>
      <c r="D2" s="9"/>
      <c r="E2" s="9"/>
      <c r="F2" s="9"/>
      <c r="G2" s="10"/>
      <c r="H2" s="10"/>
      <c r="I2" s="10"/>
      <c r="J2" s="10"/>
      <c r="K2" s="10"/>
      <c r="L2" s="10"/>
      <c r="M2" s="10"/>
      <c r="N2" s="10"/>
      <c r="O2" s="9"/>
      <c r="P2" s="9"/>
      <c r="Q2" s="9"/>
      <c r="R2" s="9"/>
      <c r="S2" s="9"/>
      <c r="T2" s="9"/>
      <c r="U2" s="9"/>
    </row>
    <row r="3" spans="1:21" x14ac:dyDescent="0.25">
      <c r="A3" s="9"/>
      <c r="B3" s="9"/>
      <c r="C3" s="9"/>
      <c r="D3" s="9"/>
      <c r="E3" s="9"/>
      <c r="F3" s="9"/>
      <c r="G3" s="10"/>
      <c r="H3" s="10"/>
      <c r="I3" s="10"/>
      <c r="J3" s="10"/>
      <c r="K3" s="10"/>
      <c r="L3" s="10"/>
      <c r="M3" s="10"/>
      <c r="N3" s="10"/>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6" t="s">
        <v>22</v>
      </c>
      <c r="D16" t="s">
        <v>26</v>
      </c>
      <c r="E16" s="9"/>
      <c r="F16" s="9"/>
      <c r="G16" s="9"/>
      <c r="H16" s="9"/>
      <c r="I16" s="9"/>
      <c r="J16" s="9"/>
      <c r="K16" s="9"/>
      <c r="L16" s="9"/>
      <c r="M16" s="9"/>
      <c r="N16" s="9"/>
      <c r="O16" s="9"/>
      <c r="P16" s="9"/>
      <c r="Q16" s="9"/>
      <c r="R16" s="9"/>
      <c r="S16" s="9"/>
      <c r="T16" s="9"/>
      <c r="U16" s="9"/>
    </row>
    <row r="17" spans="1:21" x14ac:dyDescent="0.25">
      <c r="A17" s="9"/>
      <c r="B17" s="9"/>
      <c r="C17" s="7" t="s">
        <v>12</v>
      </c>
      <c r="D17" s="8">
        <v>600931</v>
      </c>
      <c r="E17" s="9"/>
      <c r="F17" s="9"/>
      <c r="G17" s="9"/>
      <c r="H17" s="9"/>
      <c r="I17" s="9"/>
      <c r="J17" s="9"/>
      <c r="K17" s="9"/>
      <c r="L17" s="9"/>
      <c r="M17" s="9"/>
      <c r="N17" s="9"/>
      <c r="O17" s="9"/>
      <c r="P17" s="9"/>
      <c r="Q17" s="9"/>
      <c r="R17" s="9"/>
      <c r="S17" s="9"/>
      <c r="T17" s="9"/>
      <c r="U17" s="9"/>
    </row>
    <row r="18" spans="1:21" x14ac:dyDescent="0.25">
      <c r="A18" s="9"/>
      <c r="B18" s="9"/>
      <c r="C18" s="7" t="s">
        <v>7</v>
      </c>
      <c r="D18" s="8">
        <v>602288</v>
      </c>
      <c r="E18" s="9"/>
      <c r="F18" s="9"/>
      <c r="G18" s="9"/>
      <c r="H18" s="9"/>
      <c r="I18" s="9"/>
      <c r="J18" s="9"/>
      <c r="K18" s="9"/>
      <c r="L18" s="9"/>
      <c r="M18" s="9"/>
      <c r="N18" s="9"/>
      <c r="O18" s="9"/>
      <c r="P18" s="9"/>
      <c r="Q18" s="9"/>
      <c r="R18" s="9"/>
      <c r="S18" s="9"/>
      <c r="T18" s="9"/>
      <c r="U18" s="9"/>
    </row>
    <row r="19" spans="1:21" x14ac:dyDescent="0.25">
      <c r="A19" s="9"/>
      <c r="B19" s="9"/>
      <c r="C19" s="7" t="s">
        <v>8</v>
      </c>
      <c r="D19" s="8">
        <v>575379</v>
      </c>
      <c r="E19" s="9"/>
      <c r="F19" s="9"/>
      <c r="G19" s="9"/>
      <c r="H19" s="9"/>
      <c r="I19" s="9"/>
      <c r="J19" s="9"/>
      <c r="K19" s="9"/>
      <c r="L19" s="9"/>
      <c r="M19" s="9"/>
      <c r="N19" s="9"/>
      <c r="O19" s="9"/>
      <c r="P19" s="9"/>
      <c r="Q19" s="9"/>
      <c r="R19" s="9"/>
      <c r="S19" s="9"/>
      <c r="T19" s="9"/>
      <c r="U19" s="9"/>
    </row>
    <row r="20" spans="1:21" x14ac:dyDescent="0.25">
      <c r="A20" s="9"/>
      <c r="B20" s="9"/>
      <c r="C20" s="7" t="s">
        <v>10</v>
      </c>
      <c r="D20" s="8">
        <v>410724</v>
      </c>
      <c r="E20" s="9"/>
      <c r="F20" s="9"/>
      <c r="G20" s="9"/>
      <c r="H20" s="9"/>
      <c r="I20" s="9"/>
      <c r="J20" s="9"/>
      <c r="K20" s="9"/>
      <c r="L20" s="9"/>
      <c r="M20" s="9"/>
      <c r="N20" s="9"/>
      <c r="O20" s="9"/>
      <c r="P20" s="9"/>
      <c r="Q20" s="9"/>
      <c r="R20" s="9"/>
      <c r="S20" s="9"/>
      <c r="T20" s="9"/>
      <c r="U20" s="9"/>
    </row>
    <row r="21" spans="1:21" x14ac:dyDescent="0.25">
      <c r="A21" s="9"/>
      <c r="B21" s="9"/>
      <c r="C21" s="7" t="s">
        <v>23</v>
      </c>
      <c r="D21" s="8">
        <v>2189322</v>
      </c>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row r="25" spans="1:21" x14ac:dyDescent="0.25">
      <c r="A25" s="9"/>
      <c r="B25" s="9"/>
      <c r="C25" s="9"/>
      <c r="D25" s="9"/>
      <c r="E25" s="9"/>
      <c r="F25" s="9"/>
      <c r="G25" s="9"/>
      <c r="H25" s="9"/>
      <c r="I25" s="9"/>
      <c r="J25" s="9"/>
      <c r="K25" s="9"/>
      <c r="L25" s="9"/>
      <c r="M25" s="9"/>
      <c r="N25" s="9"/>
      <c r="O25" s="9"/>
      <c r="P25" s="9"/>
      <c r="Q25" s="9"/>
      <c r="R25" s="9"/>
      <c r="S25" s="9"/>
      <c r="T25" s="9"/>
      <c r="U25" s="9"/>
    </row>
    <row r="26" spans="1:21" x14ac:dyDescent="0.25">
      <c r="A26" s="9"/>
      <c r="B26" s="9"/>
      <c r="C26" s="9"/>
      <c r="D26" s="9"/>
      <c r="E26" s="9"/>
      <c r="F26" s="9"/>
      <c r="G26" s="9"/>
      <c r="H26" s="9"/>
      <c r="I26" s="9"/>
      <c r="J26" s="9"/>
      <c r="K26" s="9"/>
      <c r="L26" s="9"/>
      <c r="M26" s="9"/>
      <c r="N26" s="9"/>
      <c r="O26" s="9"/>
      <c r="P26" s="9"/>
      <c r="Q26" s="9"/>
      <c r="R26" s="9"/>
      <c r="S26" s="9"/>
      <c r="T26" s="9"/>
      <c r="U26" s="9"/>
    </row>
    <row r="27" spans="1:21" x14ac:dyDescent="0.25">
      <c r="A27" s="9"/>
      <c r="B27" s="9"/>
      <c r="C27" s="9"/>
      <c r="D27" s="9"/>
      <c r="E27" s="9"/>
      <c r="F27" s="9"/>
      <c r="G27" s="9"/>
      <c r="H27" s="9"/>
      <c r="I27" s="9"/>
      <c r="J27" s="9"/>
      <c r="K27" s="9"/>
      <c r="L27" s="9"/>
      <c r="M27" s="9"/>
      <c r="N27" s="9"/>
      <c r="O27" s="9"/>
      <c r="P27" s="9"/>
      <c r="Q27" s="9"/>
      <c r="R27" s="9"/>
      <c r="S27" s="9"/>
      <c r="T27" s="9"/>
      <c r="U27" s="9"/>
    </row>
    <row r="28" spans="1:21" x14ac:dyDescent="0.25">
      <c r="A28" s="9"/>
      <c r="B28" s="9"/>
      <c r="C28" s="9"/>
      <c r="D28" s="9"/>
      <c r="E28" s="9"/>
      <c r="F28" s="9"/>
      <c r="G28" s="9"/>
      <c r="H28" s="9"/>
      <c r="I28" s="9"/>
      <c r="J28" s="9"/>
      <c r="K28" s="9"/>
      <c r="L28" s="9"/>
      <c r="M28" s="9"/>
      <c r="N28" s="9"/>
      <c r="O28" s="9"/>
      <c r="P28" s="9"/>
      <c r="Q28" s="9"/>
      <c r="R28" s="9"/>
      <c r="S28" s="9"/>
      <c r="T28" s="9"/>
      <c r="U28" s="9"/>
    </row>
    <row r="29" spans="1:21" x14ac:dyDescent="0.25">
      <c r="A29" s="9"/>
      <c r="B29" s="9"/>
      <c r="C29" s="9"/>
      <c r="D29" s="9"/>
      <c r="E29" s="9"/>
      <c r="F29" s="9"/>
      <c r="G29" s="9"/>
      <c r="H29" s="9"/>
      <c r="I29" s="9"/>
      <c r="J29" s="9"/>
      <c r="K29" s="9"/>
      <c r="L29" s="9"/>
      <c r="M29" s="9"/>
      <c r="N29" s="9"/>
      <c r="O29" s="9"/>
      <c r="P29" s="9"/>
      <c r="Q29" s="9"/>
      <c r="R29" s="9"/>
      <c r="S29" s="9"/>
      <c r="T29" s="9"/>
      <c r="U29" s="9"/>
    </row>
  </sheetData>
  <mergeCells count="1">
    <mergeCell ref="G1:N3"/>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5B85-463F-42BC-9972-787921B426E8}">
  <dimension ref="A3:B8"/>
  <sheetViews>
    <sheetView workbookViewId="0">
      <selection activeCell="M14" sqref="M14"/>
    </sheetView>
  </sheetViews>
  <sheetFormatPr defaultRowHeight="15" x14ac:dyDescent="0.25"/>
  <cols>
    <col min="1" max="1" width="13.140625" bestFit="1" customWidth="1"/>
    <col min="2" max="2" width="17.42578125" bestFit="1" customWidth="1"/>
  </cols>
  <sheetData>
    <row r="3" spans="1:2" x14ac:dyDescent="0.25">
      <c r="A3" s="6" t="s">
        <v>22</v>
      </c>
      <c r="B3" t="s">
        <v>24</v>
      </c>
    </row>
    <row r="4" spans="1:2" x14ac:dyDescent="0.25">
      <c r="A4" s="7" t="s">
        <v>12</v>
      </c>
      <c r="B4" s="8">
        <v>511</v>
      </c>
    </row>
    <row r="5" spans="1:2" x14ac:dyDescent="0.25">
      <c r="A5" s="7" t="s">
        <v>7</v>
      </c>
      <c r="B5" s="8">
        <v>402</v>
      </c>
    </row>
    <row r="6" spans="1:2" x14ac:dyDescent="0.25">
      <c r="A6" s="7" t="s">
        <v>8</v>
      </c>
      <c r="B6" s="8">
        <v>382</v>
      </c>
    </row>
    <row r="7" spans="1:2" x14ac:dyDescent="0.25">
      <c r="A7" s="7" t="s">
        <v>10</v>
      </c>
      <c r="B7" s="8">
        <v>340</v>
      </c>
    </row>
    <row r="8" spans="1:2" x14ac:dyDescent="0.25">
      <c r="A8" s="7" t="s">
        <v>23</v>
      </c>
      <c r="B8" s="8">
        <v>1635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E562-3F96-4B95-BFF5-8EF1CFC67C5A}">
  <dimension ref="A3:F11"/>
  <sheetViews>
    <sheetView workbookViewId="0">
      <selection activeCell="C31" sqref="C31"/>
    </sheetView>
  </sheetViews>
  <sheetFormatPr defaultRowHeight="15" x14ac:dyDescent="0.25"/>
  <cols>
    <col min="1" max="1" width="16.85546875" bestFit="1" customWidth="1"/>
    <col min="2" max="2" width="16.28515625" bestFit="1" customWidth="1"/>
    <col min="3" max="5" width="7" bestFit="1" customWidth="1"/>
    <col min="6" max="6" width="11.28515625" bestFit="1" customWidth="1"/>
  </cols>
  <sheetData>
    <row r="3" spans="1:6" x14ac:dyDescent="0.25">
      <c r="A3" s="6" t="s">
        <v>26</v>
      </c>
      <c r="B3" s="6" t="s">
        <v>25</v>
      </c>
    </row>
    <row r="4" spans="1:6" x14ac:dyDescent="0.25">
      <c r="A4" s="6" t="s">
        <v>22</v>
      </c>
      <c r="B4" t="s">
        <v>12</v>
      </c>
      <c r="C4" t="s">
        <v>7</v>
      </c>
      <c r="D4" t="s">
        <v>8</v>
      </c>
      <c r="E4" t="s">
        <v>10</v>
      </c>
      <c r="F4" t="s">
        <v>23</v>
      </c>
    </row>
    <row r="5" spans="1:6" x14ac:dyDescent="0.25">
      <c r="A5" s="7" t="s">
        <v>19</v>
      </c>
      <c r="B5" s="8">
        <v>110307</v>
      </c>
      <c r="C5" s="8">
        <v>36115</v>
      </c>
      <c r="D5" s="8">
        <v>138747</v>
      </c>
      <c r="E5" s="8"/>
      <c r="F5" s="8">
        <v>285169</v>
      </c>
    </row>
    <row r="6" spans="1:6" x14ac:dyDescent="0.25">
      <c r="A6" s="7" t="s">
        <v>20</v>
      </c>
      <c r="B6" s="8">
        <v>58349</v>
      </c>
      <c r="C6" s="8">
        <v>200691</v>
      </c>
      <c r="D6" s="8">
        <v>3570</v>
      </c>
      <c r="E6" s="8">
        <v>82410</v>
      </c>
      <c r="F6" s="8">
        <v>345020</v>
      </c>
    </row>
    <row r="7" spans="1:6" x14ac:dyDescent="0.25">
      <c r="A7" s="7" t="s">
        <v>21</v>
      </c>
      <c r="B7" s="8">
        <v>95920</v>
      </c>
      <c r="C7" s="8">
        <v>213300</v>
      </c>
      <c r="D7" s="8">
        <v>62690</v>
      </c>
      <c r="E7" s="8">
        <v>59697</v>
      </c>
      <c r="F7" s="8">
        <v>431607</v>
      </c>
    </row>
    <row r="8" spans="1:6" x14ac:dyDescent="0.25">
      <c r="A8" s="7" t="s">
        <v>14</v>
      </c>
      <c r="B8" s="8">
        <v>280963</v>
      </c>
      <c r="C8" s="8"/>
      <c r="D8" s="8">
        <v>104418</v>
      </c>
      <c r="E8" s="8">
        <v>60170</v>
      </c>
      <c r="F8" s="8">
        <v>445551</v>
      </c>
    </row>
    <row r="9" spans="1:6" x14ac:dyDescent="0.25">
      <c r="A9" s="7" t="s">
        <v>16</v>
      </c>
      <c r="B9" s="8">
        <v>55392</v>
      </c>
      <c r="C9" s="8">
        <v>6168</v>
      </c>
      <c r="D9" s="8">
        <v>59608</v>
      </c>
      <c r="E9" s="8">
        <v>71170</v>
      </c>
      <c r="F9" s="8">
        <v>192338</v>
      </c>
    </row>
    <row r="10" spans="1:6" x14ac:dyDescent="0.25">
      <c r="A10" s="7" t="s">
        <v>18</v>
      </c>
      <c r="B10" s="8"/>
      <c r="C10" s="8">
        <v>146014</v>
      </c>
      <c r="D10" s="8">
        <v>206346</v>
      </c>
      <c r="E10" s="8">
        <v>137277</v>
      </c>
      <c r="F10" s="8">
        <v>489637</v>
      </c>
    </row>
    <row r="11" spans="1:6" x14ac:dyDescent="0.25">
      <c r="A11" s="7" t="s">
        <v>23</v>
      </c>
      <c r="B11" s="8">
        <v>600931</v>
      </c>
      <c r="C11" s="8">
        <v>602288</v>
      </c>
      <c r="D11" s="8">
        <v>575379</v>
      </c>
      <c r="E11" s="8">
        <v>410724</v>
      </c>
      <c r="F11" s="8">
        <v>2189322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BD5F-E213-43C5-BC60-ECA7F80C92EF}">
  <dimension ref="A3:B9"/>
  <sheetViews>
    <sheetView workbookViewId="0">
      <selection activeCell="J23" sqref="J23"/>
    </sheetView>
  </sheetViews>
  <sheetFormatPr defaultRowHeight="15" x14ac:dyDescent="0.25"/>
  <cols>
    <col min="1" max="1" width="13.140625" bestFit="1" customWidth="1"/>
    <col min="2" max="2" width="16.85546875" bestFit="1" customWidth="1"/>
  </cols>
  <sheetData>
    <row r="3" spans="1:2" x14ac:dyDescent="0.25">
      <c r="A3" s="6" t="s">
        <v>22</v>
      </c>
      <c r="B3" t="s">
        <v>26</v>
      </c>
    </row>
    <row r="4" spans="1:2" x14ac:dyDescent="0.25">
      <c r="A4" s="7" t="s">
        <v>17</v>
      </c>
      <c r="B4" s="8">
        <v>509007</v>
      </c>
    </row>
    <row r="5" spans="1:2" x14ac:dyDescent="0.25">
      <c r="A5" s="7" t="s">
        <v>15</v>
      </c>
      <c r="B5" s="8">
        <v>82427</v>
      </c>
    </row>
    <row r="6" spans="1:2" x14ac:dyDescent="0.25">
      <c r="A6" s="7" t="s">
        <v>9</v>
      </c>
      <c r="B6" s="8">
        <v>324075</v>
      </c>
    </row>
    <row r="7" spans="1:2" x14ac:dyDescent="0.25">
      <c r="A7" s="7" t="s">
        <v>11</v>
      </c>
      <c r="B7" s="8">
        <v>446314</v>
      </c>
    </row>
    <row r="8" spans="1:2" x14ac:dyDescent="0.25">
      <c r="A8" s="7" t="s">
        <v>13</v>
      </c>
      <c r="B8" s="8">
        <v>201128</v>
      </c>
    </row>
    <row r="9" spans="1:2" x14ac:dyDescent="0.25">
      <c r="A9" s="7" t="s">
        <v>23</v>
      </c>
      <c r="B9" s="8">
        <v>1562951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BCB5-16C7-473B-9092-67518EE41015}">
  <dimension ref="A1:K60"/>
  <sheetViews>
    <sheetView zoomScale="160" zoomScaleNormal="160" workbookViewId="0">
      <selection sqref="A1:H60"/>
    </sheetView>
  </sheetViews>
  <sheetFormatPr defaultRowHeight="15" x14ac:dyDescent="0.25"/>
  <cols>
    <col min="1" max="1" width="10.7109375" style="4" bestFit="1" customWidth="1"/>
    <col min="10" max="10" width="16" bestFit="1" customWidth="1"/>
    <col min="11" max="11" width="13.5703125" customWidth="1"/>
  </cols>
  <sheetData>
    <row r="1" spans="1:11" x14ac:dyDescent="0.25">
      <c r="A1" s="2" t="s">
        <v>0</v>
      </c>
      <c r="B1" s="1" t="s">
        <v>1</v>
      </c>
      <c r="C1" s="1" t="s">
        <v>2</v>
      </c>
      <c r="D1" s="1" t="s">
        <v>3</v>
      </c>
      <c r="E1" s="1" t="s">
        <v>4</v>
      </c>
      <c r="F1" s="1" t="s">
        <v>5</v>
      </c>
      <c r="G1" s="1" t="s">
        <v>6</v>
      </c>
      <c r="H1" s="11" t="s">
        <v>28</v>
      </c>
    </row>
    <row r="2" spans="1:11" x14ac:dyDescent="0.25">
      <c r="A2" s="2">
        <v>45292</v>
      </c>
      <c r="B2" s="1" t="s">
        <v>8</v>
      </c>
      <c r="C2" s="1" t="s">
        <v>13</v>
      </c>
      <c r="D2" s="1" t="s">
        <v>14</v>
      </c>
      <c r="E2" s="1">
        <v>37</v>
      </c>
      <c r="F2" s="1">
        <v>1747</v>
      </c>
      <c r="G2" s="1">
        <v>64639</v>
      </c>
      <c r="H2">
        <f>YEAR(A2)</f>
        <v>2024</v>
      </c>
    </row>
    <row r="3" spans="1:11" x14ac:dyDescent="0.25">
      <c r="A3" s="2">
        <v>45293</v>
      </c>
      <c r="B3" s="1" t="s">
        <v>7</v>
      </c>
      <c r="C3" s="1" t="s">
        <v>15</v>
      </c>
      <c r="D3" s="1" t="s">
        <v>16</v>
      </c>
      <c r="E3" s="1">
        <v>12</v>
      </c>
      <c r="F3" s="1">
        <v>514</v>
      </c>
      <c r="G3" s="1">
        <v>6168</v>
      </c>
      <c r="H3">
        <f t="shared" ref="H3:H60" si="0">YEAR(A3)</f>
        <v>2024</v>
      </c>
    </row>
    <row r="4" spans="1:11" x14ac:dyDescent="0.25">
      <c r="A4" s="2">
        <v>45294</v>
      </c>
      <c r="B4" s="1" t="s">
        <v>10</v>
      </c>
      <c r="C4" s="1" t="s">
        <v>17</v>
      </c>
      <c r="D4" s="1" t="s">
        <v>18</v>
      </c>
      <c r="E4" s="1">
        <v>41</v>
      </c>
      <c r="F4" s="1">
        <v>1444</v>
      </c>
      <c r="G4" s="1">
        <v>59204</v>
      </c>
      <c r="H4">
        <f t="shared" si="0"/>
        <v>2024</v>
      </c>
    </row>
    <row r="5" spans="1:11" x14ac:dyDescent="0.25">
      <c r="A5" s="2">
        <v>45295</v>
      </c>
      <c r="B5" s="1" t="s">
        <v>12</v>
      </c>
      <c r="C5" s="1" t="s">
        <v>11</v>
      </c>
      <c r="D5" s="1" t="s">
        <v>19</v>
      </c>
      <c r="E5" s="1">
        <v>8</v>
      </c>
      <c r="F5" s="1">
        <v>1013</v>
      </c>
      <c r="G5" s="1">
        <v>8104</v>
      </c>
      <c r="H5">
        <f t="shared" si="0"/>
        <v>2024</v>
      </c>
    </row>
    <row r="6" spans="1:11" x14ac:dyDescent="0.25">
      <c r="A6" s="2">
        <v>45296</v>
      </c>
      <c r="B6" s="1" t="s">
        <v>7</v>
      </c>
      <c r="C6" s="1" t="s">
        <v>9</v>
      </c>
      <c r="D6" s="1" t="s">
        <v>20</v>
      </c>
      <c r="E6" s="1">
        <v>47</v>
      </c>
      <c r="F6" s="1">
        <v>1512</v>
      </c>
      <c r="G6" s="1">
        <v>71064</v>
      </c>
      <c r="H6">
        <f t="shared" si="0"/>
        <v>2024</v>
      </c>
    </row>
    <row r="7" spans="1:11" x14ac:dyDescent="0.25">
      <c r="A7" s="2">
        <v>45297</v>
      </c>
      <c r="B7" s="1" t="s">
        <v>8</v>
      </c>
      <c r="C7" s="1" t="s">
        <v>17</v>
      </c>
      <c r="D7" s="1" t="s">
        <v>21</v>
      </c>
      <c r="E7" s="1">
        <v>14</v>
      </c>
      <c r="F7" s="1">
        <v>1753</v>
      </c>
      <c r="G7" s="1">
        <v>24542</v>
      </c>
      <c r="H7">
        <f t="shared" si="0"/>
        <v>2024</v>
      </c>
    </row>
    <row r="8" spans="1:11" x14ac:dyDescent="0.25">
      <c r="A8" s="2">
        <v>45298</v>
      </c>
      <c r="B8" s="1" t="s">
        <v>12</v>
      </c>
      <c r="C8" s="1" t="s">
        <v>11</v>
      </c>
      <c r="D8" s="1" t="s">
        <v>14</v>
      </c>
      <c r="E8" s="1">
        <v>50</v>
      </c>
      <c r="F8" s="1">
        <v>1388</v>
      </c>
      <c r="G8" s="1">
        <v>69400</v>
      </c>
      <c r="H8">
        <f t="shared" si="0"/>
        <v>2024</v>
      </c>
      <c r="J8" s="4"/>
    </row>
    <row r="9" spans="1:11" x14ac:dyDescent="0.25">
      <c r="A9" s="2">
        <v>45299</v>
      </c>
      <c r="B9" s="1" t="s">
        <v>8</v>
      </c>
      <c r="C9" s="1" t="s">
        <v>13</v>
      </c>
      <c r="D9" s="1" t="s">
        <v>18</v>
      </c>
      <c r="E9" s="1">
        <v>39</v>
      </c>
      <c r="F9" s="1">
        <v>1004</v>
      </c>
      <c r="G9" s="1">
        <v>39156</v>
      </c>
      <c r="H9">
        <f t="shared" si="0"/>
        <v>2024</v>
      </c>
    </row>
    <row r="10" spans="1:11" x14ac:dyDescent="0.25">
      <c r="A10" s="2">
        <v>45300</v>
      </c>
      <c r="B10" s="1" t="s">
        <v>12</v>
      </c>
      <c r="C10" s="1" t="s">
        <v>17</v>
      </c>
      <c r="D10" s="1" t="s">
        <v>19</v>
      </c>
      <c r="E10" s="1">
        <v>22</v>
      </c>
      <c r="F10" s="1">
        <v>1368</v>
      </c>
      <c r="G10" s="1">
        <v>30096</v>
      </c>
      <c r="H10">
        <f t="shared" si="0"/>
        <v>2024</v>
      </c>
      <c r="J10" s="3"/>
    </row>
    <row r="11" spans="1:11" x14ac:dyDescent="0.25">
      <c r="A11" s="2">
        <v>45301</v>
      </c>
      <c r="B11" s="1" t="s">
        <v>10</v>
      </c>
      <c r="C11" s="1" t="s">
        <v>9</v>
      </c>
      <c r="D11" s="1" t="s">
        <v>16</v>
      </c>
      <c r="E11" s="1">
        <v>17</v>
      </c>
      <c r="F11" s="1">
        <v>1650</v>
      </c>
      <c r="G11" s="1">
        <v>28050</v>
      </c>
      <c r="H11">
        <f t="shared" si="0"/>
        <v>2024</v>
      </c>
      <c r="J11" s="4"/>
    </row>
    <row r="12" spans="1:11" x14ac:dyDescent="0.25">
      <c r="A12" s="2">
        <v>45302</v>
      </c>
      <c r="B12" s="1" t="s">
        <v>7</v>
      </c>
      <c r="C12" s="1" t="s">
        <v>15</v>
      </c>
      <c r="D12" s="1" t="s">
        <v>20</v>
      </c>
      <c r="E12" s="1">
        <v>21</v>
      </c>
      <c r="F12" s="1">
        <v>584</v>
      </c>
      <c r="G12" s="1">
        <v>12264</v>
      </c>
      <c r="H12">
        <f t="shared" si="0"/>
        <v>2024</v>
      </c>
    </row>
    <row r="13" spans="1:11" x14ac:dyDescent="0.25">
      <c r="A13" s="2">
        <v>45303</v>
      </c>
      <c r="B13" s="1" t="s">
        <v>8</v>
      </c>
      <c r="C13" s="1" t="s">
        <v>17</v>
      </c>
      <c r="D13" s="1" t="s">
        <v>14</v>
      </c>
      <c r="E13" s="1">
        <v>18</v>
      </c>
      <c r="F13" s="1">
        <v>1872</v>
      </c>
      <c r="G13" s="1">
        <v>33696</v>
      </c>
      <c r="H13">
        <f t="shared" si="0"/>
        <v>2024</v>
      </c>
    </row>
    <row r="14" spans="1:11" x14ac:dyDescent="0.25">
      <c r="A14" s="2">
        <v>45304</v>
      </c>
      <c r="B14" s="1" t="s">
        <v>12</v>
      </c>
      <c r="C14" s="1" t="s">
        <v>11</v>
      </c>
      <c r="D14" s="1" t="s">
        <v>21</v>
      </c>
      <c r="E14" s="1">
        <v>44</v>
      </c>
      <c r="F14" s="1">
        <v>1305</v>
      </c>
      <c r="G14" s="1">
        <v>57420</v>
      </c>
      <c r="H14">
        <f t="shared" si="0"/>
        <v>2024</v>
      </c>
    </row>
    <row r="15" spans="1:11" x14ac:dyDescent="0.25">
      <c r="A15" s="2">
        <v>45305</v>
      </c>
      <c r="B15" s="1" t="s">
        <v>10</v>
      </c>
      <c r="C15" s="1" t="s">
        <v>9</v>
      </c>
      <c r="D15" s="1" t="s">
        <v>18</v>
      </c>
      <c r="E15" s="1">
        <v>10</v>
      </c>
      <c r="F15" s="1">
        <v>1788</v>
      </c>
      <c r="G15" s="1">
        <v>17880</v>
      </c>
      <c r="H15">
        <f t="shared" si="0"/>
        <v>2024</v>
      </c>
      <c r="J15" s="4"/>
      <c r="K15" s="5"/>
    </row>
    <row r="16" spans="1:11" x14ac:dyDescent="0.25">
      <c r="A16" s="2">
        <v>45306</v>
      </c>
      <c r="B16" s="1" t="s">
        <v>8</v>
      </c>
      <c r="C16" s="1" t="s">
        <v>13</v>
      </c>
      <c r="D16" s="1" t="s">
        <v>19</v>
      </c>
      <c r="E16" s="1">
        <v>13</v>
      </c>
      <c r="F16" s="1">
        <v>999</v>
      </c>
      <c r="G16" s="1">
        <v>12987</v>
      </c>
      <c r="H16">
        <f t="shared" si="0"/>
        <v>2024</v>
      </c>
    </row>
    <row r="17" spans="1:8" x14ac:dyDescent="0.25">
      <c r="A17" s="2">
        <v>45307</v>
      </c>
      <c r="B17" s="1" t="s">
        <v>7</v>
      </c>
      <c r="C17" s="1" t="s">
        <v>17</v>
      </c>
      <c r="D17" s="1" t="s">
        <v>20</v>
      </c>
      <c r="E17" s="1">
        <v>27</v>
      </c>
      <c r="F17" s="1">
        <v>1801</v>
      </c>
      <c r="G17" s="1">
        <v>48627</v>
      </c>
      <c r="H17">
        <f t="shared" si="0"/>
        <v>2024</v>
      </c>
    </row>
    <row r="18" spans="1:8" x14ac:dyDescent="0.25">
      <c r="A18" s="2">
        <v>45308</v>
      </c>
      <c r="B18" s="1" t="s">
        <v>12</v>
      </c>
      <c r="C18" s="1" t="s">
        <v>11</v>
      </c>
      <c r="D18" s="1" t="s">
        <v>14</v>
      </c>
      <c r="E18" s="1">
        <v>48</v>
      </c>
      <c r="F18" s="1">
        <v>1104</v>
      </c>
      <c r="G18" s="1">
        <v>52992</v>
      </c>
      <c r="H18">
        <f t="shared" si="0"/>
        <v>2024</v>
      </c>
    </row>
    <row r="19" spans="1:8" x14ac:dyDescent="0.25">
      <c r="A19" s="2">
        <v>45309</v>
      </c>
      <c r="B19" s="1" t="s">
        <v>10</v>
      </c>
      <c r="C19" s="1" t="s">
        <v>15</v>
      </c>
      <c r="D19" s="1" t="s">
        <v>21</v>
      </c>
      <c r="E19" s="1">
        <v>25</v>
      </c>
      <c r="F19" s="1">
        <v>693</v>
      </c>
      <c r="G19" s="1">
        <v>17325</v>
      </c>
      <c r="H19">
        <f t="shared" si="0"/>
        <v>2024</v>
      </c>
    </row>
    <row r="20" spans="1:8" x14ac:dyDescent="0.25">
      <c r="A20" s="2">
        <v>45310</v>
      </c>
      <c r="B20" s="1" t="s">
        <v>8</v>
      </c>
      <c r="C20" s="1" t="s">
        <v>13</v>
      </c>
      <c r="D20" s="1" t="s">
        <v>16</v>
      </c>
      <c r="E20" s="1">
        <v>9</v>
      </c>
      <c r="F20" s="1">
        <v>1112</v>
      </c>
      <c r="G20" s="1">
        <v>10008</v>
      </c>
      <c r="H20">
        <f t="shared" si="0"/>
        <v>2024</v>
      </c>
    </row>
    <row r="21" spans="1:8" x14ac:dyDescent="0.25">
      <c r="A21" s="2">
        <v>45311</v>
      </c>
      <c r="B21" s="1" t="s">
        <v>7</v>
      </c>
      <c r="C21" s="1" t="s">
        <v>17</v>
      </c>
      <c r="D21" s="1" t="s">
        <v>18</v>
      </c>
      <c r="E21" s="1">
        <v>46</v>
      </c>
      <c r="F21" s="1">
        <v>1609</v>
      </c>
      <c r="G21" s="1">
        <v>74014</v>
      </c>
      <c r="H21">
        <f t="shared" si="0"/>
        <v>2024</v>
      </c>
    </row>
    <row r="22" spans="1:8" x14ac:dyDescent="0.25">
      <c r="A22" s="2">
        <v>45312</v>
      </c>
      <c r="B22" s="1" t="s">
        <v>12</v>
      </c>
      <c r="C22" s="1" t="s">
        <v>11</v>
      </c>
      <c r="D22" s="1" t="s">
        <v>19</v>
      </c>
      <c r="E22" s="1">
        <v>31</v>
      </c>
      <c r="F22" s="1">
        <v>1520</v>
      </c>
      <c r="G22" s="1">
        <v>47120</v>
      </c>
      <c r="H22">
        <f t="shared" si="0"/>
        <v>2024</v>
      </c>
    </row>
    <row r="23" spans="1:8" x14ac:dyDescent="0.25">
      <c r="A23" s="2">
        <v>45313</v>
      </c>
      <c r="B23" s="1" t="s">
        <v>10</v>
      </c>
      <c r="C23" s="1" t="s">
        <v>9</v>
      </c>
      <c r="D23" s="1" t="s">
        <v>20</v>
      </c>
      <c r="E23" s="1">
        <v>20</v>
      </c>
      <c r="F23" s="1">
        <v>1875</v>
      </c>
      <c r="G23" s="1">
        <v>37500</v>
      </c>
      <c r="H23">
        <f t="shared" si="0"/>
        <v>2024</v>
      </c>
    </row>
    <row r="24" spans="1:8" x14ac:dyDescent="0.25">
      <c r="A24" s="2">
        <v>45314</v>
      </c>
      <c r="B24" s="1" t="s">
        <v>8</v>
      </c>
      <c r="C24" s="1" t="s">
        <v>15</v>
      </c>
      <c r="D24" s="1" t="s">
        <v>14</v>
      </c>
      <c r="E24" s="1">
        <v>11</v>
      </c>
      <c r="F24" s="1">
        <v>553</v>
      </c>
      <c r="G24" s="1">
        <v>6083</v>
      </c>
      <c r="H24">
        <f t="shared" si="0"/>
        <v>2024</v>
      </c>
    </row>
    <row r="25" spans="1:8" x14ac:dyDescent="0.25">
      <c r="A25" s="2">
        <v>45315</v>
      </c>
      <c r="B25" s="1" t="s">
        <v>12</v>
      </c>
      <c r="C25" s="1" t="s">
        <v>17</v>
      </c>
      <c r="D25" s="1" t="s">
        <v>16</v>
      </c>
      <c r="E25" s="1">
        <v>34</v>
      </c>
      <c r="F25" s="1">
        <v>1399</v>
      </c>
      <c r="G25" s="1">
        <v>47566</v>
      </c>
      <c r="H25">
        <f t="shared" si="0"/>
        <v>2024</v>
      </c>
    </row>
    <row r="26" spans="1:8" x14ac:dyDescent="0.25">
      <c r="A26" s="2">
        <v>45316</v>
      </c>
      <c r="B26" s="1" t="s">
        <v>7</v>
      </c>
      <c r="C26" s="1" t="s">
        <v>11</v>
      </c>
      <c r="D26" s="1" t="s">
        <v>21</v>
      </c>
      <c r="E26" s="1">
        <v>28</v>
      </c>
      <c r="F26" s="1">
        <v>1066</v>
      </c>
      <c r="G26" s="1">
        <v>29848</v>
      </c>
      <c r="H26">
        <f t="shared" si="0"/>
        <v>2024</v>
      </c>
    </row>
    <row r="27" spans="1:8" x14ac:dyDescent="0.25">
      <c r="A27" s="2">
        <v>45317</v>
      </c>
      <c r="B27" s="1" t="s">
        <v>10</v>
      </c>
      <c r="C27" s="1" t="s">
        <v>13</v>
      </c>
      <c r="D27" s="1" t="s">
        <v>18</v>
      </c>
      <c r="E27" s="1">
        <v>15</v>
      </c>
      <c r="F27" s="1">
        <v>945</v>
      </c>
      <c r="G27" s="1">
        <v>14175</v>
      </c>
      <c r="H27">
        <f t="shared" si="0"/>
        <v>2024</v>
      </c>
    </row>
    <row r="28" spans="1:8" x14ac:dyDescent="0.25">
      <c r="A28" s="2">
        <v>45318</v>
      </c>
      <c r="B28" s="1" t="s">
        <v>8</v>
      </c>
      <c r="C28" s="1" t="s">
        <v>17</v>
      </c>
      <c r="D28" s="1" t="s">
        <v>19</v>
      </c>
      <c r="E28" s="1">
        <v>41</v>
      </c>
      <c r="F28" s="1">
        <v>1780</v>
      </c>
      <c r="G28" s="1">
        <v>72980</v>
      </c>
      <c r="H28">
        <f t="shared" si="0"/>
        <v>2024</v>
      </c>
    </row>
    <row r="29" spans="1:8" x14ac:dyDescent="0.25">
      <c r="A29" s="2">
        <v>45319</v>
      </c>
      <c r="B29" s="1" t="s">
        <v>7</v>
      </c>
      <c r="C29" s="1" t="s">
        <v>9</v>
      </c>
      <c r="D29" s="1" t="s">
        <v>20</v>
      </c>
      <c r="E29" s="1">
        <v>19</v>
      </c>
      <c r="F29" s="1">
        <v>1899</v>
      </c>
      <c r="G29" s="1">
        <v>36081</v>
      </c>
      <c r="H29">
        <f t="shared" si="0"/>
        <v>2024</v>
      </c>
    </row>
    <row r="30" spans="1:8" x14ac:dyDescent="0.25">
      <c r="A30" s="2">
        <v>45320</v>
      </c>
      <c r="B30" s="1" t="s">
        <v>12</v>
      </c>
      <c r="C30" s="1" t="s">
        <v>15</v>
      </c>
      <c r="D30" s="1" t="s">
        <v>14</v>
      </c>
      <c r="E30" s="1">
        <v>23</v>
      </c>
      <c r="F30" s="1">
        <v>669</v>
      </c>
      <c r="G30" s="1">
        <v>15387</v>
      </c>
      <c r="H30">
        <f t="shared" si="0"/>
        <v>2024</v>
      </c>
    </row>
    <row r="31" spans="1:8" x14ac:dyDescent="0.25">
      <c r="A31" s="2">
        <v>45321</v>
      </c>
      <c r="B31" s="1" t="s">
        <v>10</v>
      </c>
      <c r="C31" s="1" t="s">
        <v>11</v>
      </c>
      <c r="D31" s="1" t="s">
        <v>21</v>
      </c>
      <c r="E31" s="1">
        <v>36</v>
      </c>
      <c r="F31" s="1">
        <v>1177</v>
      </c>
      <c r="G31" s="1">
        <v>42372</v>
      </c>
      <c r="H31">
        <f t="shared" si="0"/>
        <v>2024</v>
      </c>
    </row>
    <row r="32" spans="1:8" x14ac:dyDescent="0.25">
      <c r="A32" s="2">
        <v>45322</v>
      </c>
      <c r="B32" s="1" t="s">
        <v>8</v>
      </c>
      <c r="C32" s="1" t="s">
        <v>17</v>
      </c>
      <c r="D32" s="1" t="s">
        <v>18</v>
      </c>
      <c r="E32" s="1">
        <v>29</v>
      </c>
      <c r="F32" s="1">
        <v>1650</v>
      </c>
      <c r="G32" s="1">
        <v>47850</v>
      </c>
      <c r="H32">
        <f t="shared" si="0"/>
        <v>2024</v>
      </c>
    </row>
    <row r="33" spans="1:8" x14ac:dyDescent="0.25">
      <c r="A33" s="2">
        <v>45323</v>
      </c>
      <c r="B33" s="1" t="s">
        <v>7</v>
      </c>
      <c r="C33" s="1" t="s">
        <v>13</v>
      </c>
      <c r="D33" s="1" t="s">
        <v>19</v>
      </c>
      <c r="E33" s="1">
        <v>17</v>
      </c>
      <c r="F33" s="1">
        <v>899</v>
      </c>
      <c r="G33" s="1">
        <v>15283</v>
      </c>
      <c r="H33">
        <f t="shared" si="0"/>
        <v>2024</v>
      </c>
    </row>
    <row r="34" spans="1:8" x14ac:dyDescent="0.25">
      <c r="A34" s="2">
        <v>45324</v>
      </c>
      <c r="B34" s="1" t="s">
        <v>12</v>
      </c>
      <c r="C34" s="1" t="s">
        <v>11</v>
      </c>
      <c r="D34" s="1" t="s">
        <v>14</v>
      </c>
      <c r="E34" s="1">
        <v>45</v>
      </c>
      <c r="F34" s="1">
        <v>1240</v>
      </c>
      <c r="G34" s="1">
        <v>55800</v>
      </c>
      <c r="H34">
        <f t="shared" si="0"/>
        <v>2024</v>
      </c>
    </row>
    <row r="35" spans="1:8" x14ac:dyDescent="0.25">
      <c r="A35" s="2">
        <v>45325</v>
      </c>
      <c r="B35" s="1" t="s">
        <v>10</v>
      </c>
      <c r="C35" s="1" t="s">
        <v>15</v>
      </c>
      <c r="D35" s="1" t="s">
        <v>20</v>
      </c>
      <c r="E35" s="1">
        <v>30</v>
      </c>
      <c r="F35" s="1">
        <v>721</v>
      </c>
      <c r="G35" s="1">
        <v>21630</v>
      </c>
      <c r="H35">
        <f t="shared" si="0"/>
        <v>2024</v>
      </c>
    </row>
    <row r="36" spans="1:8" x14ac:dyDescent="0.25">
      <c r="A36" s="2">
        <v>45326</v>
      </c>
      <c r="B36" s="1" t="s">
        <v>7</v>
      </c>
      <c r="C36" s="1" t="s">
        <v>9</v>
      </c>
      <c r="D36" s="1" t="s">
        <v>21</v>
      </c>
      <c r="E36" s="1">
        <v>50</v>
      </c>
      <c r="F36" s="1">
        <v>1900</v>
      </c>
      <c r="G36" s="1">
        <v>95000</v>
      </c>
      <c r="H36">
        <f t="shared" si="0"/>
        <v>2024</v>
      </c>
    </row>
    <row r="37" spans="1:8" x14ac:dyDescent="0.25">
      <c r="A37" s="2">
        <v>45327</v>
      </c>
      <c r="B37" s="1" t="s">
        <v>8</v>
      </c>
      <c r="C37" s="1" t="s">
        <v>17</v>
      </c>
      <c r="D37" s="1" t="s">
        <v>16</v>
      </c>
      <c r="E37" s="1">
        <v>32</v>
      </c>
      <c r="F37" s="1">
        <v>1550</v>
      </c>
      <c r="G37" s="1">
        <v>49600</v>
      </c>
      <c r="H37">
        <f t="shared" si="0"/>
        <v>2024</v>
      </c>
    </row>
    <row r="38" spans="1:8" x14ac:dyDescent="0.25">
      <c r="A38" s="2">
        <v>45328</v>
      </c>
      <c r="B38" s="1" t="s">
        <v>12</v>
      </c>
      <c r="C38" s="1" t="s">
        <v>13</v>
      </c>
      <c r="D38" s="1" t="s">
        <v>14</v>
      </c>
      <c r="E38" s="1">
        <v>44</v>
      </c>
      <c r="F38" s="1">
        <v>1020</v>
      </c>
      <c r="G38" s="1">
        <v>44880</v>
      </c>
      <c r="H38">
        <f t="shared" si="0"/>
        <v>2024</v>
      </c>
    </row>
    <row r="39" spans="1:8" x14ac:dyDescent="0.25">
      <c r="A39" s="2">
        <v>45329</v>
      </c>
      <c r="B39" s="1" t="s">
        <v>10</v>
      </c>
      <c r="C39" s="1" t="s">
        <v>11</v>
      </c>
      <c r="D39" s="1" t="s">
        <v>18</v>
      </c>
      <c r="E39" s="1">
        <v>38</v>
      </c>
      <c r="F39" s="1">
        <v>1211</v>
      </c>
      <c r="G39" s="1">
        <v>46018</v>
      </c>
      <c r="H39">
        <f t="shared" si="0"/>
        <v>2024</v>
      </c>
    </row>
    <row r="40" spans="1:8" x14ac:dyDescent="0.25">
      <c r="A40" s="2">
        <v>45330</v>
      </c>
      <c r="B40" s="1" t="s">
        <v>7</v>
      </c>
      <c r="C40" s="1" t="s">
        <v>17</v>
      </c>
      <c r="D40" s="1" t="s">
        <v>19</v>
      </c>
      <c r="E40" s="1">
        <v>14</v>
      </c>
      <c r="F40" s="1">
        <v>1488</v>
      </c>
      <c r="G40" s="1">
        <v>20832</v>
      </c>
      <c r="H40">
        <f t="shared" si="0"/>
        <v>2024</v>
      </c>
    </row>
    <row r="41" spans="1:8" x14ac:dyDescent="0.25">
      <c r="A41" s="2">
        <v>45331</v>
      </c>
      <c r="B41" s="1" t="s">
        <v>12</v>
      </c>
      <c r="C41" s="1" t="s">
        <v>9</v>
      </c>
      <c r="D41" s="1" t="s">
        <v>21</v>
      </c>
      <c r="E41" s="1">
        <v>22</v>
      </c>
      <c r="F41" s="1">
        <v>1750</v>
      </c>
      <c r="G41" s="1">
        <v>38500</v>
      </c>
      <c r="H41">
        <f t="shared" si="0"/>
        <v>2024</v>
      </c>
    </row>
    <row r="42" spans="1:8" x14ac:dyDescent="0.25">
      <c r="A42" s="2">
        <v>45332</v>
      </c>
      <c r="B42" s="1" t="s">
        <v>8</v>
      </c>
      <c r="C42" s="1" t="s">
        <v>15</v>
      </c>
      <c r="D42" s="1" t="s">
        <v>20</v>
      </c>
      <c r="E42" s="1">
        <v>7</v>
      </c>
      <c r="F42" s="1">
        <v>510</v>
      </c>
      <c r="G42" s="1">
        <v>3570</v>
      </c>
      <c r="H42">
        <f t="shared" si="0"/>
        <v>2024</v>
      </c>
    </row>
    <row r="43" spans="1:8" x14ac:dyDescent="0.25">
      <c r="A43" s="2">
        <v>45333</v>
      </c>
      <c r="B43" s="1" t="s">
        <v>10</v>
      </c>
      <c r="C43" s="1" t="s">
        <v>11</v>
      </c>
      <c r="D43" s="1" t="s">
        <v>16</v>
      </c>
      <c r="E43" s="1">
        <v>28</v>
      </c>
      <c r="F43" s="1">
        <v>1330</v>
      </c>
      <c r="G43" s="1">
        <v>37240</v>
      </c>
      <c r="H43">
        <f t="shared" si="0"/>
        <v>2024</v>
      </c>
    </row>
    <row r="44" spans="1:8" x14ac:dyDescent="0.25">
      <c r="A44" s="2">
        <v>45700</v>
      </c>
      <c r="B44" s="1" t="s">
        <v>7</v>
      </c>
      <c r="C44" s="1" t="s">
        <v>17</v>
      </c>
      <c r="D44" s="1" t="s">
        <v>18</v>
      </c>
      <c r="E44" s="1">
        <v>40</v>
      </c>
      <c r="F44" s="1">
        <v>1800</v>
      </c>
      <c r="G44" s="1">
        <v>72000</v>
      </c>
      <c r="H44">
        <f t="shared" si="0"/>
        <v>2025</v>
      </c>
    </row>
    <row r="45" spans="1:8" x14ac:dyDescent="0.25">
      <c r="A45" s="2">
        <v>45701</v>
      </c>
      <c r="B45" s="1" t="s">
        <v>12</v>
      </c>
      <c r="C45" s="1" t="s">
        <v>13</v>
      </c>
      <c r="D45" s="1" t="s">
        <v>19</v>
      </c>
      <c r="E45" s="1">
        <v>26</v>
      </c>
      <c r="F45" s="1">
        <v>945</v>
      </c>
      <c r="G45" s="1">
        <v>24570</v>
      </c>
      <c r="H45">
        <f t="shared" si="0"/>
        <v>2025</v>
      </c>
    </row>
    <row r="46" spans="1:8" x14ac:dyDescent="0.25">
      <c r="A46" s="2">
        <v>45702</v>
      </c>
      <c r="B46" s="1" t="s">
        <v>8</v>
      </c>
      <c r="C46" s="1" t="s">
        <v>11</v>
      </c>
      <c r="D46" s="1" t="s">
        <v>21</v>
      </c>
      <c r="E46" s="1">
        <v>34</v>
      </c>
      <c r="F46" s="1">
        <v>1122</v>
      </c>
      <c r="G46" s="1">
        <v>38148</v>
      </c>
      <c r="H46">
        <f t="shared" si="0"/>
        <v>2025</v>
      </c>
    </row>
    <row r="47" spans="1:8" x14ac:dyDescent="0.25">
      <c r="A47" s="2">
        <v>45703</v>
      </c>
      <c r="B47" s="1" t="s">
        <v>10</v>
      </c>
      <c r="C47" s="1" t="s">
        <v>17</v>
      </c>
      <c r="D47" s="1" t="s">
        <v>14</v>
      </c>
      <c r="E47" s="1">
        <v>16</v>
      </c>
      <c r="F47" s="1">
        <v>1700</v>
      </c>
      <c r="G47" s="1">
        <v>27200</v>
      </c>
      <c r="H47">
        <f t="shared" si="0"/>
        <v>2025</v>
      </c>
    </row>
    <row r="48" spans="1:8" x14ac:dyDescent="0.25">
      <c r="A48" s="2">
        <v>45704</v>
      </c>
      <c r="B48" s="1" t="s">
        <v>7</v>
      </c>
      <c r="C48" s="1" t="s">
        <v>9</v>
      </c>
      <c r="D48" s="1" t="s">
        <v>20</v>
      </c>
      <c r="E48" s="1">
        <v>21</v>
      </c>
      <c r="F48" s="1">
        <v>1555</v>
      </c>
      <c r="G48" s="1">
        <v>32655</v>
      </c>
      <c r="H48">
        <f t="shared" si="0"/>
        <v>2025</v>
      </c>
    </row>
    <row r="49" spans="1:8" x14ac:dyDescent="0.25">
      <c r="A49" s="2">
        <v>45705</v>
      </c>
      <c r="B49" s="1" t="s">
        <v>12</v>
      </c>
      <c r="C49" s="1" t="s">
        <v>15</v>
      </c>
      <c r="D49" s="1" t="s">
        <v>16</v>
      </c>
      <c r="E49" s="1">
        <v>13</v>
      </c>
      <c r="F49" s="1">
        <v>602</v>
      </c>
      <c r="G49" s="1">
        <v>7826</v>
      </c>
      <c r="H49">
        <f t="shared" si="0"/>
        <v>2025</v>
      </c>
    </row>
    <row r="50" spans="1:8" x14ac:dyDescent="0.25">
      <c r="A50" s="2">
        <v>45706</v>
      </c>
      <c r="B50" s="1" t="s">
        <v>8</v>
      </c>
      <c r="C50" s="1" t="s">
        <v>17</v>
      </c>
      <c r="D50" s="1" t="s">
        <v>18</v>
      </c>
      <c r="E50" s="1">
        <v>49</v>
      </c>
      <c r="F50" s="1">
        <v>1660</v>
      </c>
      <c r="G50" s="1">
        <v>81340</v>
      </c>
      <c r="H50">
        <f t="shared" si="0"/>
        <v>2025</v>
      </c>
    </row>
    <row r="51" spans="1:8" x14ac:dyDescent="0.25">
      <c r="A51" s="2">
        <v>45707</v>
      </c>
      <c r="B51" s="1" t="s">
        <v>10</v>
      </c>
      <c r="C51" s="1" t="s">
        <v>11</v>
      </c>
      <c r="D51" s="1" t="s">
        <v>14</v>
      </c>
      <c r="E51" s="1">
        <v>30</v>
      </c>
      <c r="F51" s="1">
        <v>1099</v>
      </c>
      <c r="G51" s="1">
        <v>32970</v>
      </c>
      <c r="H51">
        <f t="shared" si="0"/>
        <v>2025</v>
      </c>
    </row>
    <row r="52" spans="1:8" x14ac:dyDescent="0.25">
      <c r="A52" s="2">
        <v>45708</v>
      </c>
      <c r="B52" s="1" t="s">
        <v>7</v>
      </c>
      <c r="C52" s="1" t="s">
        <v>13</v>
      </c>
      <c r="D52" s="1" t="s">
        <v>21</v>
      </c>
      <c r="E52" s="1">
        <v>18</v>
      </c>
      <c r="F52" s="1">
        <v>1001</v>
      </c>
      <c r="G52" s="1">
        <v>18018</v>
      </c>
      <c r="H52">
        <f t="shared" si="0"/>
        <v>2025</v>
      </c>
    </row>
    <row r="53" spans="1:8" x14ac:dyDescent="0.25">
      <c r="A53" s="2">
        <v>45709</v>
      </c>
      <c r="B53" s="1" t="s">
        <v>12</v>
      </c>
      <c r="C53" s="1" t="s">
        <v>17</v>
      </c>
      <c r="D53" s="1" t="s">
        <v>20</v>
      </c>
      <c r="E53" s="1">
        <v>37</v>
      </c>
      <c r="F53" s="1">
        <v>1577</v>
      </c>
      <c r="G53" s="1">
        <v>58349</v>
      </c>
      <c r="H53">
        <f t="shared" si="0"/>
        <v>2025</v>
      </c>
    </row>
    <row r="54" spans="1:8" x14ac:dyDescent="0.25">
      <c r="A54" s="2">
        <v>45710</v>
      </c>
      <c r="B54" s="1" t="s">
        <v>8</v>
      </c>
      <c r="C54" s="1" t="s">
        <v>9</v>
      </c>
      <c r="D54" s="1" t="s">
        <v>19</v>
      </c>
      <c r="E54" s="1">
        <v>29</v>
      </c>
      <c r="F54" s="1">
        <v>1820</v>
      </c>
      <c r="G54" s="1">
        <v>52780</v>
      </c>
      <c r="H54">
        <f t="shared" si="0"/>
        <v>2025</v>
      </c>
    </row>
    <row r="55" spans="1:8" x14ac:dyDescent="0.25">
      <c r="A55" s="2">
        <v>46076</v>
      </c>
      <c r="B55" s="1" t="s">
        <v>10</v>
      </c>
      <c r="C55" s="1" t="s">
        <v>15</v>
      </c>
      <c r="D55" s="1" t="s">
        <v>16</v>
      </c>
      <c r="E55" s="1">
        <v>10</v>
      </c>
      <c r="F55" s="1">
        <v>588</v>
      </c>
      <c r="G55" s="1">
        <v>5880</v>
      </c>
      <c r="H55">
        <f t="shared" si="0"/>
        <v>2026</v>
      </c>
    </row>
    <row r="56" spans="1:8" x14ac:dyDescent="0.25">
      <c r="A56" s="2">
        <v>46077</v>
      </c>
      <c r="B56" s="1" t="s">
        <v>12</v>
      </c>
      <c r="C56" s="1" t="s">
        <v>11</v>
      </c>
      <c r="D56" s="1" t="s">
        <v>14</v>
      </c>
      <c r="E56" s="1">
        <v>33</v>
      </c>
      <c r="F56" s="1">
        <v>1288</v>
      </c>
      <c r="G56" s="1">
        <v>42504</v>
      </c>
      <c r="H56">
        <f t="shared" si="0"/>
        <v>2026</v>
      </c>
    </row>
    <row r="57" spans="1:8" x14ac:dyDescent="0.25">
      <c r="A57" s="2">
        <v>46078</v>
      </c>
      <c r="B57" s="1" t="s">
        <v>7</v>
      </c>
      <c r="C57" s="1" t="s">
        <v>17</v>
      </c>
      <c r="D57" s="1" t="s">
        <v>21</v>
      </c>
      <c r="E57" s="1">
        <v>42</v>
      </c>
      <c r="F57" s="1">
        <v>1677</v>
      </c>
      <c r="G57" s="1">
        <v>70434</v>
      </c>
      <c r="H57">
        <f t="shared" si="0"/>
        <v>2026</v>
      </c>
    </row>
    <row r="58" spans="1:8" x14ac:dyDescent="0.25">
      <c r="A58" s="2">
        <v>46079</v>
      </c>
      <c r="B58" s="1" t="s">
        <v>8</v>
      </c>
      <c r="C58" s="1" t="s">
        <v>9</v>
      </c>
      <c r="D58" s="1" t="s">
        <v>18</v>
      </c>
      <c r="E58" s="1">
        <v>20</v>
      </c>
      <c r="F58" s="1">
        <v>1900</v>
      </c>
      <c r="G58" s="1">
        <v>38000</v>
      </c>
      <c r="H58">
        <f t="shared" si="0"/>
        <v>2026</v>
      </c>
    </row>
    <row r="59" spans="1:8" x14ac:dyDescent="0.25">
      <c r="A59" s="2">
        <v>46080</v>
      </c>
      <c r="B59" s="1" t="s">
        <v>10</v>
      </c>
      <c r="C59" s="1" t="s">
        <v>13</v>
      </c>
      <c r="D59" s="1" t="s">
        <v>20</v>
      </c>
      <c r="E59" s="1">
        <v>24</v>
      </c>
      <c r="F59" s="1">
        <v>970</v>
      </c>
      <c r="G59" s="1">
        <v>23280</v>
      </c>
      <c r="H59">
        <f t="shared" si="0"/>
        <v>2026</v>
      </c>
    </row>
    <row r="60" spans="1:8" x14ac:dyDescent="0.25">
      <c r="A60" s="2">
        <v>46081</v>
      </c>
      <c r="B60" s="1" t="s">
        <v>12</v>
      </c>
      <c r="C60" s="1" t="s">
        <v>11</v>
      </c>
      <c r="D60" s="1" t="s">
        <v>19</v>
      </c>
      <c r="E60" s="1">
        <v>31</v>
      </c>
      <c r="F60" s="1">
        <v>1344</v>
      </c>
      <c r="G60" s="1">
        <v>417</v>
      </c>
      <c r="H60">
        <f t="shared" si="0"/>
        <v>2026</v>
      </c>
    </row>
  </sheetData>
  <conditionalFormatting sqref="A2:G60">
    <cfRule type="expression" dxfId="0" priority="2">
      <formula>$B2="North"</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F22C-D487-40E1-AD1C-42A81DF02B99}">
  <dimension ref="A3:C27"/>
  <sheetViews>
    <sheetView workbookViewId="0">
      <selection activeCell="V22" sqref="V22"/>
    </sheetView>
  </sheetViews>
  <sheetFormatPr defaultRowHeight="15" x14ac:dyDescent="0.25"/>
  <cols>
    <col min="1" max="2" width="13.140625" bestFit="1" customWidth="1"/>
    <col min="3" max="3" width="17.42578125" bestFit="1" customWidth="1"/>
  </cols>
  <sheetData>
    <row r="3" spans="1:2" x14ac:dyDescent="0.25">
      <c r="A3" s="6" t="s">
        <v>22</v>
      </c>
      <c r="B3" t="s">
        <v>26</v>
      </c>
    </row>
    <row r="4" spans="1:2" x14ac:dyDescent="0.25">
      <c r="A4" s="7" t="s">
        <v>12</v>
      </c>
      <c r="B4" s="8">
        <v>69450</v>
      </c>
    </row>
    <row r="5" spans="1:2" x14ac:dyDescent="0.25">
      <c r="A5" s="7" t="s">
        <v>7</v>
      </c>
      <c r="B5" s="8">
        <v>33301</v>
      </c>
    </row>
    <row r="6" spans="1:2" x14ac:dyDescent="0.25">
      <c r="A6" s="7" t="s">
        <v>8</v>
      </c>
      <c r="B6" s="8">
        <v>126790</v>
      </c>
    </row>
    <row r="7" spans="1:2" x14ac:dyDescent="0.25">
      <c r="A7" s="7" t="s">
        <v>10</v>
      </c>
      <c r="B7" s="8">
        <v>37455</v>
      </c>
    </row>
    <row r="8" spans="1:2" x14ac:dyDescent="0.25">
      <c r="A8" s="7" t="s">
        <v>23</v>
      </c>
      <c r="B8" s="8">
        <v>266996</v>
      </c>
    </row>
    <row r="20" spans="2:3" x14ac:dyDescent="0.25">
      <c r="B20" s="6" t="s">
        <v>22</v>
      </c>
      <c r="C20" t="s">
        <v>24</v>
      </c>
    </row>
    <row r="21" spans="2:3" x14ac:dyDescent="0.25">
      <c r="B21" s="7" t="s">
        <v>19</v>
      </c>
      <c r="C21" s="8">
        <v>56</v>
      </c>
    </row>
    <row r="22" spans="2:3" x14ac:dyDescent="0.25">
      <c r="B22" s="7" t="s">
        <v>20</v>
      </c>
      <c r="C22" s="8">
        <v>24</v>
      </c>
    </row>
    <row r="23" spans="2:3" x14ac:dyDescent="0.25">
      <c r="B23" s="7" t="s">
        <v>21</v>
      </c>
      <c r="C23" s="8">
        <v>18</v>
      </c>
    </row>
    <row r="24" spans="2:3" x14ac:dyDescent="0.25">
      <c r="B24" s="7" t="s">
        <v>14</v>
      </c>
      <c r="C24" s="8">
        <v>81</v>
      </c>
    </row>
    <row r="25" spans="2:3" x14ac:dyDescent="0.25">
      <c r="B25" s="7" t="s">
        <v>16</v>
      </c>
      <c r="C25" s="8">
        <v>9</v>
      </c>
    </row>
    <row r="26" spans="2:3" x14ac:dyDescent="0.25">
      <c r="B26" s="7" t="s">
        <v>18</v>
      </c>
      <c r="C26" s="8">
        <v>54</v>
      </c>
    </row>
    <row r="27" spans="2:3" x14ac:dyDescent="0.25">
      <c r="B27" s="7" t="s">
        <v>23</v>
      </c>
      <c r="C27" s="8">
        <v>242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74FA-0A39-446B-8148-EAF88ACEE9B3}">
  <dimension ref="A3:B10"/>
  <sheetViews>
    <sheetView workbookViewId="0">
      <selection activeCell="B9" sqref="B9"/>
    </sheetView>
  </sheetViews>
  <sheetFormatPr defaultRowHeight="15" x14ac:dyDescent="0.25"/>
  <cols>
    <col min="1" max="1" width="13.140625" bestFit="1" customWidth="1"/>
    <col min="2" max="2" width="17.42578125" bestFit="1" customWidth="1"/>
    <col min="3" max="4" width="6.140625" bestFit="1" customWidth="1"/>
    <col min="5" max="5" width="5.7109375" bestFit="1" customWidth="1"/>
    <col min="6" max="6" width="11.28515625" bestFit="1" customWidth="1"/>
  </cols>
  <sheetData>
    <row r="3" spans="1:2" x14ac:dyDescent="0.25">
      <c r="A3" s="6" t="s">
        <v>22</v>
      </c>
      <c r="B3" t="s">
        <v>24</v>
      </c>
    </row>
    <row r="4" spans="1:2" x14ac:dyDescent="0.25">
      <c r="A4" s="7" t="s">
        <v>19</v>
      </c>
      <c r="B4" s="8">
        <v>232</v>
      </c>
    </row>
    <row r="5" spans="1:2" x14ac:dyDescent="0.25">
      <c r="A5" s="7" t="s">
        <v>20</v>
      </c>
      <c r="B5" s="8">
        <v>253</v>
      </c>
    </row>
    <row r="6" spans="1:2" x14ac:dyDescent="0.25">
      <c r="A6" s="7" t="s">
        <v>21</v>
      </c>
      <c r="B6" s="8">
        <v>313</v>
      </c>
    </row>
    <row r="7" spans="1:2" x14ac:dyDescent="0.25">
      <c r="A7" s="7" t="s">
        <v>14</v>
      </c>
      <c r="B7" s="8">
        <v>355</v>
      </c>
    </row>
    <row r="8" spans="1:2" x14ac:dyDescent="0.25">
      <c r="A8" s="7" t="s">
        <v>16</v>
      </c>
      <c r="B8" s="8">
        <v>155</v>
      </c>
    </row>
    <row r="9" spans="1:2" x14ac:dyDescent="0.25">
      <c r="A9" s="7" t="s">
        <v>18</v>
      </c>
      <c r="B9" s="8">
        <v>327</v>
      </c>
    </row>
    <row r="10" spans="1:2" x14ac:dyDescent="0.25">
      <c r="A10" s="7" t="s">
        <v>23</v>
      </c>
      <c r="B10" s="8">
        <v>1635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Sheet4</vt:lpstr>
      <vt:lpstr>Sheet5</vt:lpstr>
      <vt:lpstr>Sheet3</vt:lpstr>
      <vt:lpstr>Sheet1</vt:lpstr>
      <vt:lpstr>RegionVsSales</vt:lpstr>
      <vt:lpstr>UnitSoldBySalesPerson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jitender sarswat</dc:creator>
  <cp:lastModifiedBy>Jitender  [Online Student]</cp:lastModifiedBy>
  <dcterms:created xsi:type="dcterms:W3CDTF">2025-11-20T10:45:11Z</dcterms:created>
  <dcterms:modified xsi:type="dcterms:W3CDTF">2026-04-28T04:07:29Z</dcterms:modified>
</cp:coreProperties>
</file>