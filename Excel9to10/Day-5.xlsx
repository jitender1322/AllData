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357E30EE-0CDE-4A14-A416-85E37EF2CCA5}" xr6:coauthVersionLast="47" xr6:coauthVersionMax="47" xr10:uidLastSave="{00000000-0000-0000-0000-000000000000}"/>
  <bookViews>
    <workbookView xWindow="-120" yWindow="-120" windowWidth="29040" windowHeight="15720" xr2:uid="{647DEF58-673A-4D42-A1E9-37071E949B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8" i="1" l="1" a="1"/>
  <c r="L38" i="1" s="1"/>
  <c r="L35" i="1"/>
  <c r="L32" i="1"/>
  <c r="L12" i="1"/>
  <c r="O11" i="1"/>
  <c r="P11" i="1"/>
  <c r="Q11" i="1"/>
  <c r="R11" i="1"/>
  <c r="S11" i="1"/>
  <c r="T11" i="1"/>
  <c r="U11" i="1"/>
  <c r="V11" i="1"/>
  <c r="N11" i="1"/>
  <c r="O10" i="1"/>
  <c r="P10" i="1"/>
  <c r="Q10" i="1"/>
  <c r="R10" i="1"/>
  <c r="S10" i="1"/>
  <c r="T10" i="1"/>
  <c r="U10" i="1"/>
  <c r="V10" i="1"/>
  <c r="N10" i="1"/>
  <c r="B5" i="2"/>
  <c r="N5" i="1"/>
  <c r="M5" i="1"/>
  <c r="P17" i="1" a="1"/>
  <c r="N16" i="1" a="1"/>
  <c r="P17" i="1" l="1"/>
  <c r="N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<sst xmlns="http://schemas.openxmlformats.org/spreadsheetml/2006/main" count="425" uniqueCount="131">
  <si>
    <t>ID</t>
  </si>
  <si>
    <t>Name</t>
  </si>
  <si>
    <t>Department</t>
  </si>
  <si>
    <t>City</t>
  </si>
  <si>
    <t>Salary</t>
  </si>
  <si>
    <t>Joining Date</t>
  </si>
  <si>
    <t>Manager</t>
  </si>
  <si>
    <t>Rating</t>
  </si>
  <si>
    <t>Bonus %</t>
  </si>
  <si>
    <t>Total Bonus</t>
  </si>
  <si>
    <t>John Smith</t>
  </si>
  <si>
    <t>Sales</t>
  </si>
  <si>
    <t>New York</t>
  </si>
  <si>
    <t>Alice</t>
  </si>
  <si>
    <t>Sarah Lee</t>
  </si>
  <si>
    <t>HR</t>
  </si>
  <si>
    <t>Chicago</t>
  </si>
  <si>
    <t>David</t>
  </si>
  <si>
    <t>Michael Brown</t>
  </si>
  <si>
    <t>IT</t>
  </si>
  <si>
    <t>Dallas</t>
  </si>
  <si>
    <t>Karen</t>
  </si>
  <si>
    <t>Emma Davis</t>
  </si>
  <si>
    <t>Marketing</t>
  </si>
  <si>
    <t>Boston</t>
  </si>
  <si>
    <t>Daniel Wilson</t>
  </si>
  <si>
    <t>Finance</t>
  </si>
  <si>
    <t>Seattle</t>
  </si>
  <si>
    <t>John</t>
  </si>
  <si>
    <t>Olivia Miller</t>
  </si>
  <si>
    <t>Miami</t>
  </si>
  <si>
    <t>James Johnson</t>
  </si>
  <si>
    <t>Denver</t>
  </si>
  <si>
    <t>Isabella Martinez</t>
  </si>
  <si>
    <t>Ethan Garcia</t>
  </si>
  <si>
    <t>Austin</t>
  </si>
  <si>
    <t>Ava Rodriguez</t>
  </si>
  <si>
    <t>Phoenix</t>
  </si>
  <si>
    <t>William Lewis</t>
  </si>
  <si>
    <t>Mia Walker</t>
  </si>
  <si>
    <t>Benjamin Hall</t>
  </si>
  <si>
    <t>Charlotte Allen</t>
  </si>
  <si>
    <t>Lucas Young</t>
  </si>
  <si>
    <t>Harper Hernandez</t>
  </si>
  <si>
    <t>Henry King</t>
  </si>
  <si>
    <t>Evelyn Wright</t>
  </si>
  <si>
    <t>Jack Lopez</t>
  </si>
  <si>
    <t>Sophia Hill</t>
  </si>
  <si>
    <t>Alexander Scott</t>
  </si>
  <si>
    <t>Amelia Green</t>
  </si>
  <si>
    <t>Elijah Adams</t>
  </si>
  <si>
    <t>Abigail Baker</t>
  </si>
  <si>
    <t>Logan Nelson</t>
  </si>
  <si>
    <t>Emily Carter</t>
  </si>
  <si>
    <t>Jacob Perez</t>
  </si>
  <si>
    <t>Elizabeth Turner</t>
  </si>
  <si>
    <t>Mason Phillips</t>
  </si>
  <si>
    <t>Victoria Campbell</t>
  </si>
  <si>
    <t>Jackson Parker</t>
  </si>
  <si>
    <t>Sofia Evans</t>
  </si>
  <si>
    <t>Logan Edwards</t>
  </si>
  <si>
    <t>Chloe Collins</t>
  </si>
  <si>
    <t>Matthew Stewart</t>
  </si>
  <si>
    <t>Lily Sanchez</t>
  </si>
  <si>
    <t>David Morris</t>
  </si>
  <si>
    <t>Grace Rogers</t>
  </si>
  <si>
    <t>Joseph Reed</t>
  </si>
  <si>
    <t>Scarlett Cook</t>
  </si>
  <si>
    <t>Samuel Morgan</t>
  </si>
  <si>
    <t>Hazel Bell</t>
  </si>
  <si>
    <t>Owen Murphy</t>
  </si>
  <si>
    <t>Aria Bailey</t>
  </si>
  <si>
    <t>Wyatt Rivera</t>
  </si>
  <si>
    <t>Layla Cooper</t>
  </si>
  <si>
    <t>Noah Richardson</t>
  </si>
  <si>
    <t>Nora Cox</t>
  </si>
  <si>
    <t>Levi Howard</t>
  </si>
  <si>
    <t>Zoe Ward</t>
  </si>
  <si>
    <t>Anthony Brooks</t>
  </si>
  <si>
    <t>Penelope Torres</t>
  </si>
  <si>
    <t>Isaac Peterson</t>
  </si>
  <si>
    <t>Luna Gray</t>
  </si>
  <si>
    <t>Jayden Ramirez</t>
  </si>
  <si>
    <t>Mila James</t>
  </si>
  <si>
    <t>Sebastian Watson</t>
  </si>
  <si>
    <t>Eleanor Foster</t>
  </si>
  <si>
    <t>Jack Long</t>
  </si>
  <si>
    <t>Avery Bennett</t>
  </si>
  <si>
    <t>Carter Bailey</t>
  </si>
  <si>
    <t>Lucy Rivera</t>
  </si>
  <si>
    <t>Julian Hughes</t>
  </si>
  <si>
    <t>Stella Price</t>
  </si>
  <si>
    <t>Hudson Butler</t>
  </si>
  <si>
    <t>Nova Barnes</t>
  </si>
  <si>
    <t>Leo Ross</t>
  </si>
  <si>
    <t>Eva Coleman</t>
  </si>
  <si>
    <t>Lincoln Jenkins</t>
  </si>
  <si>
    <t>Aurora Perry</t>
  </si>
  <si>
    <t>Thomas Powell</t>
  </si>
  <si>
    <t>Lillian Patterson</t>
  </si>
  <si>
    <t>Eli Simmons</t>
  </si>
  <si>
    <t>Addison Russell</t>
  </si>
  <si>
    <t>Connor Butler</t>
  </si>
  <si>
    <t>Victoria Diaz</t>
  </si>
  <si>
    <t>Hunter Ward</t>
  </si>
  <si>
    <t>Bella Hughes</t>
  </si>
  <si>
    <t>Adrian Torres</t>
  </si>
  <si>
    <t>Naomi Flores</t>
  </si>
  <si>
    <t>Easton Sanders</t>
  </si>
  <si>
    <t>Clara Rivera</t>
  </si>
  <si>
    <t>Christian Ortiz</t>
  </si>
  <si>
    <t>Hannah Morgan</t>
  </si>
  <si>
    <t>Jonathan Kelly</t>
  </si>
  <si>
    <t>Lydia Murphy</t>
  </si>
  <si>
    <t>Isaiah Foster</t>
  </si>
  <si>
    <t>Sadie Henderson</t>
  </si>
  <si>
    <t>Christopher Gray</t>
  </si>
  <si>
    <t>Alice Fisher</t>
  </si>
  <si>
    <t>Ezra Boyd</t>
  </si>
  <si>
    <t>Nora Reynolds</t>
  </si>
  <si>
    <t>Jeremiah Barnes</t>
  </si>
  <si>
    <t>Ellie Stevens</t>
  </si>
  <si>
    <t>Charles West</t>
  </si>
  <si>
    <t>Audrey Bryant</t>
  </si>
  <si>
    <t>Thomas Stone</t>
  </si>
  <si>
    <t>Maya Graham</t>
  </si>
  <si>
    <t>Adam Bishop</t>
  </si>
  <si>
    <t>Samantha Olson</t>
  </si>
  <si>
    <t>Input</t>
  </si>
  <si>
    <t>a1</t>
  </si>
  <si>
    <t>R1C1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</si>
</sst>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5F0B-8C0C-45C0-923A-98B0C145109C}">
  <dimension ref="A1:V101"/>
  <sheetViews>
    <sheetView tabSelected="1" topLeftCell="J29" zoomScale="175" zoomScaleNormal="175" workbookViewId="0">
      <selection activeCell="L38" sqref="L38"/>
    </sheetView>
  </sheetViews>
  <sheetFormatPr defaultRowHeight="15" x14ac:dyDescent="0.25"/>
  <cols>
    <col min="1" max="1" width="6.85546875" customWidth="1"/>
    <col min="2" max="2" width="14.28515625" customWidth="1"/>
    <col min="3" max="3" width="11.28515625" bestFit="1" customWidth="1"/>
    <col min="6" max="6" width="15.28515625" customWidth="1"/>
    <col min="10" max="10" width="10.28515625" customWidth="1"/>
    <col min="12" max="14" width="13.28515625" bestFit="1" customWidth="1"/>
    <col min="15" max="15" width="11.42578125" customWidth="1"/>
    <col min="18" max="18" width="17" customWidth="1"/>
    <col min="22" max="22" width="11.7109375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22" x14ac:dyDescent="0.25">
      <c r="A2" s="1">
        <v>1</v>
      </c>
      <c r="B2" s="1" t="s">
        <v>10</v>
      </c>
      <c r="C2" s="1" t="s">
        <v>11</v>
      </c>
      <c r="D2" s="1" t="s">
        <v>12</v>
      </c>
      <c r="E2" s="1">
        <v>58000</v>
      </c>
      <c r="F2" s="2">
        <v>43171</v>
      </c>
      <c r="G2" s="1" t="s">
        <v>13</v>
      </c>
      <c r="H2" s="1">
        <v>4</v>
      </c>
      <c r="I2" s="1">
        <v>6</v>
      </c>
      <c r="J2" s="1">
        <v>3480</v>
      </c>
    </row>
    <row r="3" spans="1:22" x14ac:dyDescent="0.25">
      <c r="A3" s="1">
        <v>2</v>
      </c>
      <c r="B3" s="1" t="s">
        <v>14</v>
      </c>
      <c r="C3" s="1" t="s">
        <v>15</v>
      </c>
      <c r="D3" s="1" t="s">
        <v>16</v>
      </c>
      <c r="E3" s="1">
        <v>52000</v>
      </c>
      <c r="F3" s="2">
        <v>43647</v>
      </c>
      <c r="G3" s="1" t="s">
        <v>17</v>
      </c>
      <c r="H3" s="1">
        <v>3</v>
      </c>
      <c r="I3" s="1">
        <v>5</v>
      </c>
      <c r="J3" s="1">
        <v>2600</v>
      </c>
    </row>
    <row r="4" spans="1:22" x14ac:dyDescent="0.25">
      <c r="A4" s="1">
        <v>3</v>
      </c>
      <c r="B4" s="1" t="s">
        <v>18</v>
      </c>
      <c r="C4" s="1" t="s">
        <v>19</v>
      </c>
      <c r="D4" s="1" t="s">
        <v>20</v>
      </c>
      <c r="E4" s="1">
        <v>67000</v>
      </c>
      <c r="F4" s="2">
        <v>43845</v>
      </c>
      <c r="G4" s="1" t="s">
        <v>21</v>
      </c>
      <c r="H4" s="1">
        <v>5</v>
      </c>
      <c r="I4" s="1">
        <v>8</v>
      </c>
      <c r="J4" s="1">
        <v>5360</v>
      </c>
      <c r="L4" s="3" t="s">
        <v>128</v>
      </c>
      <c r="M4" s="3" t="s">
        <v>1</v>
      </c>
      <c r="N4" s="3" t="s">
        <v>4</v>
      </c>
    </row>
    <row r="5" spans="1:22" x14ac:dyDescent="0.25">
      <c r="A5" s="1">
        <v>4</v>
      </c>
      <c r="B5" s="1" t="s">
        <v>22</v>
      </c>
      <c r="C5" s="1" t="s">
        <v>23</v>
      </c>
      <c r="D5" s="1" t="s">
        <v>24</v>
      </c>
      <c r="E5" s="1">
        <v>61000</v>
      </c>
      <c r="F5" s="2">
        <v>43062</v>
      </c>
      <c r="G5" s="1" t="s">
        <v>13</v>
      </c>
      <c r="H5" s="1">
        <v>4</v>
      </c>
      <c r="I5" s="1">
        <v>6</v>
      </c>
      <c r="J5" s="1">
        <v>3660</v>
      </c>
      <c r="L5" s="1">
        <v>1</v>
      </c>
      <c r="M5" s="1" t="str">
        <f>IFERROR(VLOOKUP($L$5,$A$2:$J$101,2),"-")</f>
        <v>John Smith</v>
      </c>
      <c r="N5" s="1">
        <f>IFERROR(VLOOKUP($L$5,$A$2:$J$101,5),"-")</f>
        <v>58000</v>
      </c>
    </row>
    <row r="6" spans="1:22" x14ac:dyDescent="0.25">
      <c r="A6" s="1">
        <v>5</v>
      </c>
      <c r="B6" s="1" t="s">
        <v>25</v>
      </c>
      <c r="C6" s="1" t="s">
        <v>26</v>
      </c>
      <c r="D6" s="1" t="s">
        <v>27</v>
      </c>
      <c r="E6" s="1">
        <v>72000</v>
      </c>
      <c r="F6" s="2">
        <v>42494</v>
      </c>
      <c r="G6" s="1" t="s">
        <v>28</v>
      </c>
      <c r="H6" s="1">
        <v>3</v>
      </c>
      <c r="I6" s="1">
        <v>5</v>
      </c>
      <c r="J6" s="1">
        <v>3600</v>
      </c>
    </row>
    <row r="7" spans="1:22" x14ac:dyDescent="0.25">
      <c r="A7" s="1">
        <v>6</v>
      </c>
      <c r="B7" s="1" t="s">
        <v>29</v>
      </c>
      <c r="C7" s="1" t="s">
        <v>11</v>
      </c>
      <c r="D7" s="1" t="s">
        <v>30</v>
      </c>
      <c r="E7" s="1">
        <v>54000</v>
      </c>
      <c r="F7" s="2">
        <v>43353</v>
      </c>
      <c r="G7" s="1" t="s">
        <v>13</v>
      </c>
      <c r="H7" s="1">
        <v>4</v>
      </c>
      <c r="I7" s="1">
        <v>6</v>
      </c>
      <c r="J7" s="1">
        <v>3240</v>
      </c>
    </row>
    <row r="8" spans="1:22" x14ac:dyDescent="0.25">
      <c r="A8" s="1">
        <v>7</v>
      </c>
      <c r="B8" s="1" t="s">
        <v>31</v>
      </c>
      <c r="C8" s="1" t="s">
        <v>19</v>
      </c>
      <c r="D8" s="1" t="s">
        <v>32</v>
      </c>
      <c r="E8" s="1">
        <v>70000</v>
      </c>
      <c r="F8" s="2">
        <v>44244</v>
      </c>
      <c r="G8" s="1" t="s">
        <v>21</v>
      </c>
      <c r="H8" s="1">
        <v>5</v>
      </c>
      <c r="I8" s="1">
        <v>8</v>
      </c>
      <c r="J8" s="1">
        <v>5600</v>
      </c>
    </row>
    <row r="9" spans="1:22" x14ac:dyDescent="0.25">
      <c r="A9" s="1">
        <v>8</v>
      </c>
      <c r="B9" s="1" t="s">
        <v>33</v>
      </c>
      <c r="C9" s="1" t="s">
        <v>15</v>
      </c>
      <c r="D9" s="1" t="s">
        <v>16</v>
      </c>
      <c r="E9" s="1">
        <v>51000</v>
      </c>
      <c r="F9" s="2">
        <v>43645</v>
      </c>
      <c r="G9" s="1" t="s">
        <v>17</v>
      </c>
      <c r="H9" s="1">
        <v>3</v>
      </c>
      <c r="I9" s="1">
        <v>5</v>
      </c>
      <c r="J9" s="1">
        <v>2550</v>
      </c>
      <c r="M9" s="3" t="s">
        <v>0</v>
      </c>
      <c r="N9" s="3" t="s">
        <v>1</v>
      </c>
      <c r="O9" s="3" t="s">
        <v>2</v>
      </c>
      <c r="P9" s="3" t="s">
        <v>3</v>
      </c>
      <c r="Q9" s="3" t="s">
        <v>4</v>
      </c>
      <c r="R9" s="3" t="s">
        <v>5</v>
      </c>
      <c r="S9" s="3" t="s">
        <v>6</v>
      </c>
      <c r="T9" s="3" t="s">
        <v>7</v>
      </c>
      <c r="U9" s="3" t="s">
        <v>8</v>
      </c>
      <c r="V9" s="3" t="s">
        <v>9</v>
      </c>
    </row>
    <row r="10" spans="1:22" x14ac:dyDescent="0.25">
      <c r="A10" s="1">
        <v>9</v>
      </c>
      <c r="B10" s="1" t="s">
        <v>34</v>
      </c>
      <c r="C10" s="1" t="s">
        <v>23</v>
      </c>
      <c r="D10" s="1" t="s">
        <v>35</v>
      </c>
      <c r="E10" s="1">
        <v>60000</v>
      </c>
      <c r="F10" s="2">
        <v>43435</v>
      </c>
      <c r="G10" s="1" t="s">
        <v>13</v>
      </c>
      <c r="H10" s="1">
        <v>4</v>
      </c>
      <c r="I10" s="1">
        <v>6</v>
      </c>
      <c r="J10" s="1">
        <v>3600</v>
      </c>
      <c r="M10">
        <v>1</v>
      </c>
      <c r="N10" t="str">
        <f>IFERROR(INDEX(B:B,MATCH($M$10,$A:$A,0)),"-")</f>
        <v>John Smith</v>
      </c>
      <c r="O10" t="str">
        <f t="shared" ref="O10:V10" si="0">IFERROR(INDEX(C:C,MATCH($M$10,$A:$A,0)),"-")</f>
        <v>Sales</v>
      </c>
      <c r="P10" t="str">
        <f t="shared" si="0"/>
        <v>New York</v>
      </c>
      <c r="Q10">
        <f t="shared" si="0"/>
        <v>58000</v>
      </c>
      <c r="R10">
        <f t="shared" si="0"/>
        <v>43171</v>
      </c>
      <c r="S10" t="str">
        <f t="shared" si="0"/>
        <v>Alice</v>
      </c>
      <c r="T10">
        <f t="shared" si="0"/>
        <v>4</v>
      </c>
      <c r="U10">
        <f t="shared" si="0"/>
        <v>6</v>
      </c>
      <c r="V10">
        <f t="shared" si="0"/>
        <v>3480</v>
      </c>
    </row>
    <row r="11" spans="1:22" x14ac:dyDescent="0.25">
      <c r="A11" s="1">
        <v>10</v>
      </c>
      <c r="B11" s="1" t="s">
        <v>36</v>
      </c>
      <c r="C11" s="1" t="s">
        <v>26</v>
      </c>
      <c r="D11" s="1" t="s">
        <v>37</v>
      </c>
      <c r="E11" s="1">
        <v>73000</v>
      </c>
      <c r="F11" s="2">
        <v>42844</v>
      </c>
      <c r="G11" s="1" t="s">
        <v>28</v>
      </c>
      <c r="H11" s="1">
        <v>5</v>
      </c>
      <c r="I11" s="1">
        <v>8</v>
      </c>
      <c r="J11" s="1">
        <v>5840</v>
      </c>
      <c r="M11">
        <v>1</v>
      </c>
      <c r="N11" t="str">
        <f>_xlfn.XLOOKUP($M$11,$A:$A,B:B,"-",0,1)</f>
        <v>John Smith</v>
      </c>
      <c r="O11" t="str">
        <f t="shared" ref="O11:V11" si="1">_xlfn.XLOOKUP($M$11,$A:$A,C:C,"-",0,1)</f>
        <v>Sales</v>
      </c>
      <c r="P11" t="str">
        <f t="shared" si="1"/>
        <v>New York</v>
      </c>
      <c r="Q11">
        <f t="shared" si="1"/>
        <v>58000</v>
      </c>
      <c r="R11">
        <f t="shared" si="1"/>
        <v>43171</v>
      </c>
      <c r="S11" t="str">
        <f t="shared" si="1"/>
        <v>Alice</v>
      </c>
      <c r="T11">
        <f t="shared" si="1"/>
        <v>4</v>
      </c>
      <c r="U11">
        <f t="shared" si="1"/>
        <v>6</v>
      </c>
      <c r="V11">
        <f t="shared" si="1"/>
        <v>3480</v>
      </c>
    </row>
    <row r="12" spans="1:22" x14ac:dyDescent="0.25">
      <c r="A12" s="1">
        <v>11</v>
      </c>
      <c r="B12" s="1" t="s">
        <v>38</v>
      </c>
      <c r="C12" s="1" t="s">
        <v>11</v>
      </c>
      <c r="D12" s="1" t="s">
        <v>12</v>
      </c>
      <c r="E12" s="1">
        <v>57000</v>
      </c>
      <c r="F12" s="2">
        <v>43549</v>
      </c>
      <c r="G12" s="1" t="s">
        <v>13</v>
      </c>
      <c r="H12" s="1">
        <v>4</v>
      </c>
      <c r="I12" s="1">
        <v>6</v>
      </c>
      <c r="J12" s="1">
        <v>3420</v>
      </c>
      <c r="L12" t="str">
        <f ca="1">OFFSET(A2,3,1)</f>
        <v>Emma Davis</v>
      </c>
    </row>
    <row r="13" spans="1:22" x14ac:dyDescent="0.25">
      <c r="A13" s="1">
        <v>12</v>
      </c>
      <c r="B13" s="1" t="s">
        <v>39</v>
      </c>
      <c r="C13" s="1" t="s">
        <v>15</v>
      </c>
      <c r="D13" s="1" t="s">
        <v>16</v>
      </c>
      <c r="E13" s="1">
        <v>50000</v>
      </c>
      <c r="F13" s="2">
        <v>44025</v>
      </c>
      <c r="G13" s="1" t="s">
        <v>17</v>
      </c>
      <c r="H13" s="1">
        <v>3</v>
      </c>
      <c r="I13" s="1">
        <v>5</v>
      </c>
      <c r="J13" s="1">
        <v>2500</v>
      </c>
    </row>
    <row r="14" spans="1:22" x14ac:dyDescent="0.25">
      <c r="A14" s="1">
        <v>13</v>
      </c>
      <c r="B14" s="1" t="s">
        <v>40</v>
      </c>
      <c r="C14" s="1" t="s">
        <v>19</v>
      </c>
      <c r="D14" s="1" t="s">
        <v>20</v>
      </c>
      <c r="E14" s="1">
        <v>69000</v>
      </c>
      <c r="F14" s="2">
        <v>43120</v>
      </c>
      <c r="G14" s="1" t="s">
        <v>21</v>
      </c>
      <c r="H14" s="1">
        <v>5</v>
      </c>
      <c r="I14" s="1">
        <v>8</v>
      </c>
      <c r="J14" s="1">
        <v>5520</v>
      </c>
    </row>
    <row r="15" spans="1:22" x14ac:dyDescent="0.25">
      <c r="A15" s="1">
        <v>14</v>
      </c>
      <c r="B15" s="1" t="s">
        <v>41</v>
      </c>
      <c r="C15" s="1" t="s">
        <v>23</v>
      </c>
      <c r="D15" s="1" t="s">
        <v>24</v>
      </c>
      <c r="E15" s="1">
        <v>62000</v>
      </c>
      <c r="F15" s="2">
        <v>42683</v>
      </c>
      <c r="G15" s="1" t="s">
        <v>13</v>
      </c>
      <c r="H15" s="1">
        <v>4</v>
      </c>
      <c r="I15" s="1">
        <v>6</v>
      </c>
      <c r="J15" s="1">
        <v>3720</v>
      </c>
    </row>
    <row r="16" spans="1:22" x14ac:dyDescent="0.25">
      <c r="A16" s="1">
        <v>15</v>
      </c>
      <c r="B16" s="1" t="s">
        <v>42</v>
      </c>
      <c r="C16" s="1" t="s">
        <v>26</v>
      </c>
      <c r="D16" s="1" t="s">
        <v>27</v>
      </c>
      <c r="E16" s="1">
        <v>71000</v>
      </c>
      <c r="F16" s="2">
        <v>43149</v>
      </c>
      <c r="G16" s="1" t="s">
        <v>28</v>
      </c>
      <c r="H16" s="1">
        <v>3</v>
      </c>
      <c r="I16" s="1">
        <v>5</v>
      </c>
      <c r="J16" s="1">
        <v>3550</v>
      </c>
      <c r="L16" s="4">
        <v>46132</v>
      </c>
      <c r="N16" t="e" cm="1">
        <f t="array" aca="1" ref="N16" ca="1">INDIRECT(O16,)</f>
        <v>#REF!</v>
      </c>
      <c r="O16" t="s">
        <v>129</v>
      </c>
    </row>
    <row r="17" spans="1:16" x14ac:dyDescent="0.25">
      <c r="A17" s="1">
        <v>16</v>
      </c>
      <c r="B17" s="1" t="s">
        <v>43</v>
      </c>
      <c r="C17" s="1" t="s">
        <v>11</v>
      </c>
      <c r="D17" s="1" t="s">
        <v>30</v>
      </c>
      <c r="E17" s="1">
        <v>56000</v>
      </c>
      <c r="F17" s="2">
        <v>43599</v>
      </c>
      <c r="G17" s="1" t="s">
        <v>13</v>
      </c>
      <c r="H17" s="1">
        <v>4</v>
      </c>
      <c r="I17" s="1">
        <v>6</v>
      </c>
      <c r="J17" s="1">
        <v>3360</v>
      </c>
      <c r="O17" t="s">
        <v>130</v>
      </c>
      <c r="P17" t="str" cm="1">
        <f t="array" aca="1" ref="P17" ca="1">INDIRECT(O17,FALSE)</f>
        <v>ID</v>
      </c>
    </row>
    <row r="18" spans="1:16" x14ac:dyDescent="0.25">
      <c r="A18" s="1">
        <v>17</v>
      </c>
      <c r="B18" s="1" t="s">
        <v>44</v>
      </c>
      <c r="C18" s="1" t="s">
        <v>19</v>
      </c>
      <c r="D18" s="1" t="s">
        <v>32</v>
      </c>
      <c r="E18" s="1">
        <v>70500</v>
      </c>
      <c r="F18" s="2">
        <v>44065</v>
      </c>
      <c r="G18" s="1" t="s">
        <v>21</v>
      </c>
      <c r="H18" s="1">
        <v>5</v>
      </c>
      <c r="I18" s="1">
        <v>8</v>
      </c>
      <c r="J18" s="1">
        <v>5640</v>
      </c>
      <c r="L18" s="5">
        <v>0.39374999999999999</v>
      </c>
    </row>
    <row r="19" spans="1:16" x14ac:dyDescent="0.25">
      <c r="A19" s="1">
        <v>18</v>
      </c>
      <c r="B19" s="1" t="s">
        <v>45</v>
      </c>
      <c r="C19" s="1" t="s">
        <v>15</v>
      </c>
      <c r="D19" s="1" t="s">
        <v>16</v>
      </c>
      <c r="E19" s="1">
        <v>51500</v>
      </c>
      <c r="F19" s="2">
        <v>43739</v>
      </c>
      <c r="G19" s="1" t="s">
        <v>17</v>
      </c>
      <c r="H19" s="1">
        <v>3</v>
      </c>
      <c r="I19" s="1">
        <v>5</v>
      </c>
      <c r="J19" s="1">
        <v>2575</v>
      </c>
    </row>
    <row r="20" spans="1:16" x14ac:dyDescent="0.25">
      <c r="A20" s="1">
        <v>19</v>
      </c>
      <c r="B20" s="1" t="s">
        <v>46</v>
      </c>
      <c r="C20" s="1" t="s">
        <v>23</v>
      </c>
      <c r="D20" s="1" t="s">
        <v>35</v>
      </c>
      <c r="E20" s="1">
        <v>60500</v>
      </c>
      <c r="F20" s="2">
        <v>43444</v>
      </c>
      <c r="G20" s="1" t="s">
        <v>13</v>
      </c>
      <c r="H20" s="1">
        <v>4</v>
      </c>
      <c r="I20" s="1">
        <v>6</v>
      </c>
      <c r="J20" s="1">
        <v>3630</v>
      </c>
      <c r="L20" s="4"/>
    </row>
    <row r="21" spans="1:16" x14ac:dyDescent="0.25">
      <c r="A21" s="1">
        <v>20</v>
      </c>
      <c r="B21" s="1" t="s">
        <v>47</v>
      </c>
      <c r="C21" s="1" t="s">
        <v>26</v>
      </c>
      <c r="D21" s="1" t="s">
        <v>37</v>
      </c>
      <c r="E21" s="1">
        <v>73500</v>
      </c>
      <c r="F21" s="2">
        <v>42935</v>
      </c>
      <c r="G21" s="1" t="s">
        <v>28</v>
      </c>
      <c r="H21" s="1">
        <v>5</v>
      </c>
      <c r="I21" s="1">
        <v>8</v>
      </c>
      <c r="J21" s="1">
        <v>5880</v>
      </c>
    </row>
    <row r="22" spans="1:16" x14ac:dyDescent="0.25">
      <c r="A22" s="1">
        <v>21</v>
      </c>
      <c r="B22" s="1" t="s">
        <v>48</v>
      </c>
      <c r="C22" s="1" t="s">
        <v>11</v>
      </c>
      <c r="D22" s="1" t="s">
        <v>12</v>
      </c>
      <c r="E22" s="1">
        <v>58500</v>
      </c>
      <c r="F22" s="2">
        <v>43103</v>
      </c>
      <c r="G22" s="1" t="s">
        <v>13</v>
      </c>
      <c r="H22" s="1">
        <v>4</v>
      </c>
      <c r="I22" s="1">
        <v>6</v>
      </c>
      <c r="J22" s="1">
        <v>3510</v>
      </c>
    </row>
    <row r="23" spans="1:16" x14ac:dyDescent="0.25">
      <c r="A23" s="1">
        <v>22</v>
      </c>
      <c r="B23" s="1" t="s">
        <v>49</v>
      </c>
      <c r="C23" s="1" t="s">
        <v>15</v>
      </c>
      <c r="D23" s="1" t="s">
        <v>16</v>
      </c>
      <c r="E23" s="1">
        <v>52500</v>
      </c>
      <c r="F23" s="2">
        <v>43511</v>
      </c>
      <c r="G23" s="1" t="s">
        <v>17</v>
      </c>
      <c r="H23" s="1">
        <v>3</v>
      </c>
      <c r="I23" s="1">
        <v>5</v>
      </c>
      <c r="J23" s="1">
        <v>2625</v>
      </c>
    </row>
    <row r="24" spans="1:16" x14ac:dyDescent="0.25">
      <c r="A24" s="1">
        <v>23</v>
      </c>
      <c r="B24" s="1" t="s">
        <v>50</v>
      </c>
      <c r="C24" s="1" t="s">
        <v>19</v>
      </c>
      <c r="D24" s="1" t="s">
        <v>20</v>
      </c>
      <c r="E24" s="1">
        <v>67500</v>
      </c>
      <c r="F24" s="2">
        <v>43974</v>
      </c>
      <c r="G24" s="1" t="s">
        <v>21</v>
      </c>
      <c r="H24" s="1">
        <v>5</v>
      </c>
      <c r="I24" s="1">
        <v>8</v>
      </c>
      <c r="J24" s="1">
        <v>5400</v>
      </c>
    </row>
    <row r="25" spans="1:16" x14ac:dyDescent="0.25">
      <c r="A25" s="1">
        <v>24</v>
      </c>
      <c r="B25" s="1" t="s">
        <v>51</v>
      </c>
      <c r="C25" s="1" t="s">
        <v>23</v>
      </c>
      <c r="D25" s="1" t="s">
        <v>24</v>
      </c>
      <c r="E25" s="1">
        <v>61500</v>
      </c>
      <c r="F25" s="2">
        <v>43069</v>
      </c>
      <c r="G25" s="1" t="s">
        <v>13</v>
      </c>
      <c r="H25" s="1">
        <v>4</v>
      </c>
      <c r="I25" s="1">
        <v>6</v>
      </c>
      <c r="J25" s="1">
        <v>3690</v>
      </c>
    </row>
    <row r="26" spans="1:16" x14ac:dyDescent="0.25">
      <c r="A26" s="1">
        <v>25</v>
      </c>
      <c r="B26" s="1" t="s">
        <v>52</v>
      </c>
      <c r="C26" s="1" t="s">
        <v>26</v>
      </c>
      <c r="D26" s="1" t="s">
        <v>27</v>
      </c>
      <c r="E26" s="1">
        <v>72500</v>
      </c>
      <c r="F26" s="2">
        <v>42507</v>
      </c>
      <c r="G26" s="1" t="s">
        <v>28</v>
      </c>
      <c r="H26" s="1">
        <v>3</v>
      </c>
      <c r="I26" s="1">
        <v>5</v>
      </c>
      <c r="J26" s="1">
        <v>3625</v>
      </c>
    </row>
    <row r="27" spans="1:16" x14ac:dyDescent="0.25">
      <c r="A27" s="1">
        <v>26</v>
      </c>
      <c r="B27" s="1" t="s">
        <v>53</v>
      </c>
      <c r="C27" s="1" t="s">
        <v>11</v>
      </c>
      <c r="D27" s="1" t="s">
        <v>30</v>
      </c>
      <c r="E27" s="1">
        <v>54500</v>
      </c>
      <c r="F27" s="2">
        <v>43377</v>
      </c>
      <c r="G27" s="1" t="s">
        <v>13</v>
      </c>
      <c r="H27" s="1">
        <v>4</v>
      </c>
      <c r="I27" s="1">
        <v>6</v>
      </c>
      <c r="J27" s="1">
        <v>3270</v>
      </c>
    </row>
    <row r="28" spans="1:16" x14ac:dyDescent="0.25">
      <c r="A28" s="1">
        <v>27</v>
      </c>
      <c r="B28" s="1" t="s">
        <v>54</v>
      </c>
      <c r="C28" s="1" t="s">
        <v>19</v>
      </c>
      <c r="D28" s="1" t="s">
        <v>32</v>
      </c>
      <c r="E28" s="1">
        <v>69500</v>
      </c>
      <c r="F28" s="2">
        <v>44273</v>
      </c>
      <c r="G28" s="1" t="s">
        <v>21</v>
      </c>
      <c r="H28" s="1">
        <v>5</v>
      </c>
      <c r="I28" s="1">
        <v>8</v>
      </c>
      <c r="J28" s="1">
        <v>5560</v>
      </c>
      <c r="L28">
        <v>0.4856476387228198</v>
      </c>
    </row>
    <row r="29" spans="1:16" x14ac:dyDescent="0.25">
      <c r="A29" s="1">
        <v>28</v>
      </c>
      <c r="B29" s="1" t="s">
        <v>55</v>
      </c>
      <c r="C29" s="1" t="s">
        <v>15</v>
      </c>
      <c r="D29" s="1" t="s">
        <v>16</v>
      </c>
      <c r="E29" s="1">
        <v>50500</v>
      </c>
      <c r="F29" s="2">
        <v>43655</v>
      </c>
      <c r="G29" s="1" t="s">
        <v>17</v>
      </c>
      <c r="H29" s="1">
        <v>3</v>
      </c>
      <c r="I29" s="1">
        <v>5</v>
      </c>
      <c r="J29" s="1">
        <v>2525</v>
      </c>
    </row>
    <row r="30" spans="1:16" x14ac:dyDescent="0.25">
      <c r="A30" s="1">
        <v>29</v>
      </c>
      <c r="B30" s="1" t="s">
        <v>56</v>
      </c>
      <c r="C30" s="1" t="s">
        <v>23</v>
      </c>
      <c r="D30" s="1" t="s">
        <v>35</v>
      </c>
      <c r="E30" s="1">
        <v>61000</v>
      </c>
      <c r="F30" s="2">
        <v>43426</v>
      </c>
      <c r="G30" s="1" t="s">
        <v>13</v>
      </c>
      <c r="H30" s="1">
        <v>4</v>
      </c>
      <c r="I30" s="1">
        <v>6</v>
      </c>
      <c r="J30" s="1">
        <v>3660</v>
      </c>
    </row>
    <row r="31" spans="1:16" x14ac:dyDescent="0.25">
      <c r="A31" s="1">
        <v>30</v>
      </c>
      <c r="B31" s="1" t="s">
        <v>57</v>
      </c>
      <c r="C31" s="1" t="s">
        <v>26</v>
      </c>
      <c r="D31" s="1" t="s">
        <v>37</v>
      </c>
      <c r="E31" s="1">
        <v>74000</v>
      </c>
      <c r="F31" s="2">
        <v>42819</v>
      </c>
      <c r="G31" s="1" t="s">
        <v>28</v>
      </c>
      <c r="H31" s="1">
        <v>5</v>
      </c>
      <c r="I31" s="1">
        <v>8</v>
      </c>
      <c r="J31" s="1">
        <v>5920</v>
      </c>
    </row>
    <row r="32" spans="1:16" x14ac:dyDescent="0.25">
      <c r="A32" s="1">
        <v>31</v>
      </c>
      <c r="B32" s="1" t="s">
        <v>58</v>
      </c>
      <c r="C32" s="1" t="s">
        <v>11</v>
      </c>
      <c r="D32" s="1" t="s">
        <v>12</v>
      </c>
      <c r="E32" s="1">
        <v>57500</v>
      </c>
      <c r="F32" s="2">
        <v>43565</v>
      </c>
      <c r="G32" s="1" t="s">
        <v>13</v>
      </c>
      <c r="H32" s="1">
        <v>4</v>
      </c>
      <c r="I32" s="1">
        <v>6</v>
      </c>
      <c r="J32" s="1">
        <v>350</v>
      </c>
      <c r="L32">
        <f ca="1">RAND()</f>
        <v>0.3252601691779492</v>
      </c>
    </row>
    <row r="33" spans="1:21" x14ac:dyDescent="0.25">
      <c r="A33" s="1">
        <v>32</v>
      </c>
      <c r="B33" s="1" t="s">
        <v>59</v>
      </c>
      <c r="C33" s="1" t="s">
        <v>15</v>
      </c>
      <c r="D33" s="1" t="s">
        <v>16</v>
      </c>
      <c r="E33" s="1">
        <v>53000</v>
      </c>
      <c r="F33" s="2">
        <v>44079</v>
      </c>
      <c r="G33" s="1" t="s">
        <v>17</v>
      </c>
      <c r="H33" s="1">
        <v>3</v>
      </c>
      <c r="I33" s="1">
        <v>5</v>
      </c>
      <c r="J33" s="1">
        <v>2650</v>
      </c>
    </row>
    <row r="34" spans="1:21" x14ac:dyDescent="0.25">
      <c r="A34" s="1">
        <v>33</v>
      </c>
      <c r="B34" s="1" t="s">
        <v>60</v>
      </c>
      <c r="C34" s="1" t="s">
        <v>19</v>
      </c>
      <c r="D34" s="1" t="s">
        <v>20</v>
      </c>
      <c r="E34" s="1">
        <v>68000</v>
      </c>
      <c r="F34" s="2">
        <v>43118</v>
      </c>
      <c r="G34" s="1" t="s">
        <v>21</v>
      </c>
      <c r="H34" s="1">
        <v>5</v>
      </c>
      <c r="I34" s="1">
        <v>8</v>
      </c>
      <c r="J34" s="1">
        <v>5440</v>
      </c>
    </row>
    <row r="35" spans="1:21" x14ac:dyDescent="0.25">
      <c r="A35" s="1">
        <v>34</v>
      </c>
      <c r="B35" s="1" t="s">
        <v>61</v>
      </c>
      <c r="C35" s="1" t="s">
        <v>23</v>
      </c>
      <c r="D35" s="1" t="s">
        <v>24</v>
      </c>
      <c r="E35" s="1">
        <v>62500</v>
      </c>
      <c r="F35" s="2">
        <v>42726</v>
      </c>
      <c r="G35" s="1" t="s">
        <v>13</v>
      </c>
      <c r="H35" s="1">
        <v>4</v>
      </c>
      <c r="I35" s="1">
        <v>6</v>
      </c>
      <c r="J35" s="1">
        <v>3750</v>
      </c>
      <c r="L35">
        <f ca="1">RANDBETWEEN(12,16)</f>
        <v>12</v>
      </c>
    </row>
    <row r="36" spans="1:21" x14ac:dyDescent="0.25">
      <c r="A36" s="1">
        <v>35</v>
      </c>
      <c r="B36" s="1" t="s">
        <v>62</v>
      </c>
      <c r="C36" s="1" t="s">
        <v>26</v>
      </c>
      <c r="D36" s="1" t="s">
        <v>27</v>
      </c>
      <c r="E36" s="1">
        <v>71500</v>
      </c>
      <c r="F36" s="2">
        <v>43159</v>
      </c>
      <c r="G36" s="1" t="s">
        <v>28</v>
      </c>
      <c r="H36" s="1">
        <v>3</v>
      </c>
      <c r="I36" s="1">
        <v>5</v>
      </c>
      <c r="J36" s="1">
        <v>3575</v>
      </c>
    </row>
    <row r="37" spans="1:21" x14ac:dyDescent="0.25">
      <c r="A37" s="1">
        <v>36</v>
      </c>
      <c r="B37" s="1" t="s">
        <v>63</v>
      </c>
      <c r="C37" s="1" t="s">
        <v>11</v>
      </c>
      <c r="D37" s="1" t="s">
        <v>30</v>
      </c>
      <c r="E37" s="1">
        <v>55000</v>
      </c>
      <c r="F37" s="2">
        <v>43688</v>
      </c>
      <c r="G37" s="1" t="s">
        <v>13</v>
      </c>
      <c r="H37" s="1">
        <v>4</v>
      </c>
      <c r="I37" s="1">
        <v>6</v>
      </c>
      <c r="J37" s="1">
        <v>3300</v>
      </c>
    </row>
    <row r="38" spans="1:21" x14ac:dyDescent="0.25">
      <c r="A38" s="1">
        <v>37</v>
      </c>
      <c r="B38" s="1" t="s">
        <v>64</v>
      </c>
      <c r="C38" s="1" t="s">
        <v>19</v>
      </c>
      <c r="D38" s="1" t="s">
        <v>32</v>
      </c>
      <c r="E38" s="1">
        <v>71000</v>
      </c>
      <c r="F38" s="2">
        <v>44103</v>
      </c>
      <c r="G38" s="1" t="s">
        <v>21</v>
      </c>
      <c r="H38" s="1">
        <v>5</v>
      </c>
      <c r="I38" s="1">
        <v>8</v>
      </c>
      <c r="J38" s="1">
        <v>5680</v>
      </c>
      <c r="L38" cm="1">
        <f t="array" ref="L38:U47">_xlfn._xlws.FILTER(A1:J101,D1:D101=D31,"-")</f>
        <v>10</v>
      </c>
      <c r="M38" t="str">
        <v>Ava Rodriguez</v>
      </c>
      <c r="N38" t="str">
        <v>Finance</v>
      </c>
      <c r="O38" t="str">
        <v>Phoenix</v>
      </c>
      <c r="P38">
        <v>73000</v>
      </c>
      <c r="Q38">
        <v>42844</v>
      </c>
      <c r="R38" t="str">
        <v>John</v>
      </c>
      <c r="S38">
        <v>5</v>
      </c>
      <c r="T38">
        <v>8</v>
      </c>
      <c r="U38">
        <v>5840</v>
      </c>
    </row>
    <row r="39" spans="1:21" x14ac:dyDescent="0.25">
      <c r="A39" s="1">
        <v>38</v>
      </c>
      <c r="B39" s="1" t="s">
        <v>65</v>
      </c>
      <c r="C39" s="1" t="s">
        <v>15</v>
      </c>
      <c r="D39" s="1" t="s">
        <v>16</v>
      </c>
      <c r="E39" s="1">
        <v>52000</v>
      </c>
      <c r="F39" s="2">
        <v>43627</v>
      </c>
      <c r="G39" s="1" t="s">
        <v>17</v>
      </c>
      <c r="H39" s="1">
        <v>3</v>
      </c>
      <c r="I39" s="1">
        <v>5</v>
      </c>
      <c r="J39" s="1">
        <v>2600</v>
      </c>
      <c r="L39">
        <v>20</v>
      </c>
      <c r="M39" t="str">
        <v>Sophia Hill</v>
      </c>
      <c r="N39" t="str">
        <v>Finance</v>
      </c>
      <c r="O39" t="str">
        <v>Phoenix</v>
      </c>
      <c r="P39">
        <v>73500</v>
      </c>
      <c r="Q39">
        <v>42935</v>
      </c>
      <c r="R39" t="str">
        <v>John</v>
      </c>
      <c r="S39">
        <v>5</v>
      </c>
      <c r="T39">
        <v>8</v>
      </c>
      <c r="U39">
        <v>5880</v>
      </c>
    </row>
    <row r="40" spans="1:21" x14ac:dyDescent="0.25">
      <c r="A40" s="1">
        <v>39</v>
      </c>
      <c r="B40" s="1" t="s">
        <v>66</v>
      </c>
      <c r="C40" s="1" t="s">
        <v>23</v>
      </c>
      <c r="D40" s="1" t="s">
        <v>35</v>
      </c>
      <c r="E40" s="1">
        <v>60500</v>
      </c>
      <c r="F40" s="2">
        <v>43381</v>
      </c>
      <c r="G40" s="1" t="s">
        <v>13</v>
      </c>
      <c r="H40" s="1">
        <v>4</v>
      </c>
      <c r="I40" s="1">
        <v>6</v>
      </c>
      <c r="J40" s="1">
        <v>3630</v>
      </c>
      <c r="L40">
        <v>30</v>
      </c>
      <c r="M40" t="str">
        <v>Victoria Campbell</v>
      </c>
      <c r="N40" t="str">
        <v>Finance</v>
      </c>
      <c r="O40" t="str">
        <v>Phoenix</v>
      </c>
      <c r="P40">
        <v>74000</v>
      </c>
      <c r="Q40">
        <v>42819</v>
      </c>
      <c r="R40" t="str">
        <v>John</v>
      </c>
      <c r="S40">
        <v>5</v>
      </c>
      <c r="T40">
        <v>8</v>
      </c>
      <c r="U40">
        <v>5920</v>
      </c>
    </row>
    <row r="41" spans="1:21" x14ac:dyDescent="0.25">
      <c r="A41" s="1">
        <v>40</v>
      </c>
      <c r="B41" s="1" t="s">
        <v>67</v>
      </c>
      <c r="C41" s="1" t="s">
        <v>26</v>
      </c>
      <c r="D41" s="1" t="s">
        <v>37</v>
      </c>
      <c r="E41" s="1">
        <v>74500</v>
      </c>
      <c r="F41" s="2">
        <v>42781</v>
      </c>
      <c r="G41" s="1" t="s">
        <v>28</v>
      </c>
      <c r="H41" s="1">
        <v>5</v>
      </c>
      <c r="I41" s="1">
        <v>8</v>
      </c>
      <c r="J41" s="1">
        <v>5960</v>
      </c>
      <c r="L41">
        <v>40</v>
      </c>
      <c r="M41" t="str">
        <v>Scarlett Cook</v>
      </c>
      <c r="N41" t="str">
        <v>Finance</v>
      </c>
      <c r="O41" t="str">
        <v>Phoenix</v>
      </c>
      <c r="P41">
        <v>74500</v>
      </c>
      <c r="Q41">
        <v>42781</v>
      </c>
      <c r="R41" t="str">
        <v>John</v>
      </c>
      <c r="S41">
        <v>5</v>
      </c>
      <c r="T41">
        <v>8</v>
      </c>
      <c r="U41">
        <v>5960</v>
      </c>
    </row>
    <row r="42" spans="1:21" x14ac:dyDescent="0.25">
      <c r="A42" s="1">
        <v>41</v>
      </c>
      <c r="B42" s="1" t="s">
        <v>68</v>
      </c>
      <c r="C42" s="1" t="s">
        <v>11</v>
      </c>
      <c r="D42" s="1" t="s">
        <v>12</v>
      </c>
      <c r="E42" s="1">
        <v>56500</v>
      </c>
      <c r="F42" s="2">
        <v>43173</v>
      </c>
      <c r="G42" s="1" t="s">
        <v>13</v>
      </c>
      <c r="H42" s="1">
        <v>4</v>
      </c>
      <c r="I42" s="1">
        <v>6</v>
      </c>
      <c r="J42" s="1">
        <v>3390</v>
      </c>
      <c r="L42">
        <v>50</v>
      </c>
      <c r="M42" t="str">
        <v>Zoe Ward</v>
      </c>
      <c r="N42" t="str">
        <v>Finance</v>
      </c>
      <c r="O42" t="str">
        <v>Phoenix</v>
      </c>
      <c r="P42">
        <v>75000</v>
      </c>
      <c r="Q42">
        <v>42896</v>
      </c>
      <c r="R42" t="str">
        <v>John</v>
      </c>
      <c r="S42">
        <v>5</v>
      </c>
      <c r="T42">
        <v>8</v>
      </c>
      <c r="U42">
        <v>6000</v>
      </c>
    </row>
    <row r="43" spans="1:21" x14ac:dyDescent="0.25">
      <c r="A43" s="1">
        <v>42</v>
      </c>
      <c r="B43" s="1" t="s">
        <v>69</v>
      </c>
      <c r="C43" s="1" t="s">
        <v>15</v>
      </c>
      <c r="D43" s="1" t="s">
        <v>16</v>
      </c>
      <c r="E43" s="1">
        <v>53500</v>
      </c>
      <c r="F43" s="2">
        <v>43669</v>
      </c>
      <c r="G43" s="1" t="s">
        <v>17</v>
      </c>
      <c r="H43" s="1">
        <v>3</v>
      </c>
      <c r="I43" s="1">
        <v>5</v>
      </c>
      <c r="J43" s="1">
        <v>2675</v>
      </c>
      <c r="L43">
        <v>60</v>
      </c>
      <c r="M43" t="str">
        <v>Avery Bennett</v>
      </c>
      <c r="N43" t="str">
        <v>Finance</v>
      </c>
      <c r="O43" t="str">
        <v>Phoenix</v>
      </c>
      <c r="P43">
        <v>75500</v>
      </c>
      <c r="Q43">
        <v>42822</v>
      </c>
      <c r="R43" t="str">
        <v>John</v>
      </c>
      <c r="S43">
        <v>5</v>
      </c>
      <c r="T43">
        <v>8</v>
      </c>
      <c r="U43">
        <v>6040</v>
      </c>
    </row>
    <row r="44" spans="1:21" x14ac:dyDescent="0.25">
      <c r="A44" s="1">
        <v>43</v>
      </c>
      <c r="B44" s="1" t="s">
        <v>70</v>
      </c>
      <c r="C44" s="1" t="s">
        <v>19</v>
      </c>
      <c r="D44" s="1" t="s">
        <v>20</v>
      </c>
      <c r="E44" s="1">
        <v>68500</v>
      </c>
      <c r="F44" s="2">
        <v>43930</v>
      </c>
      <c r="G44" s="1" t="s">
        <v>21</v>
      </c>
      <c r="H44" s="1">
        <v>5</v>
      </c>
      <c r="I44" s="1">
        <v>8</v>
      </c>
      <c r="J44" s="1">
        <v>5480</v>
      </c>
      <c r="L44">
        <v>70</v>
      </c>
      <c r="M44" t="str">
        <v>Aurora Perry</v>
      </c>
      <c r="N44" t="str">
        <v>Finance</v>
      </c>
      <c r="O44" t="str">
        <v>Phoenix</v>
      </c>
      <c r="P44">
        <v>76000</v>
      </c>
      <c r="Q44">
        <v>42869</v>
      </c>
      <c r="R44" t="str">
        <v>John</v>
      </c>
      <c r="S44">
        <v>5</v>
      </c>
      <c r="T44">
        <v>8</v>
      </c>
      <c r="U44">
        <v>6080</v>
      </c>
    </row>
    <row r="45" spans="1:21" x14ac:dyDescent="0.25">
      <c r="A45" s="1">
        <v>44</v>
      </c>
      <c r="B45" s="1" t="s">
        <v>71</v>
      </c>
      <c r="C45" s="1" t="s">
        <v>23</v>
      </c>
      <c r="D45" s="1" t="s">
        <v>24</v>
      </c>
      <c r="E45" s="1">
        <v>63000</v>
      </c>
      <c r="F45" s="2">
        <v>43007</v>
      </c>
      <c r="G45" s="1" t="s">
        <v>13</v>
      </c>
      <c r="H45" s="1">
        <v>4</v>
      </c>
      <c r="I45" s="1">
        <v>6</v>
      </c>
      <c r="J45" s="1">
        <v>3780</v>
      </c>
      <c r="L45">
        <v>80</v>
      </c>
      <c r="M45" t="str">
        <v>Naomi Flores</v>
      </c>
      <c r="N45" t="str">
        <v>Finance</v>
      </c>
      <c r="O45" t="str">
        <v>Phoenix</v>
      </c>
      <c r="P45">
        <v>74000</v>
      </c>
      <c r="Q45">
        <v>42815</v>
      </c>
      <c r="R45" t="str">
        <v>John</v>
      </c>
      <c r="S45">
        <v>5</v>
      </c>
      <c r="T45">
        <v>8</v>
      </c>
      <c r="U45">
        <v>5920</v>
      </c>
    </row>
    <row r="46" spans="1:21" x14ac:dyDescent="0.25">
      <c r="A46" s="1">
        <v>45</v>
      </c>
      <c r="B46" s="1" t="s">
        <v>72</v>
      </c>
      <c r="C46" s="1" t="s">
        <v>26</v>
      </c>
      <c r="D46" s="1" t="s">
        <v>27</v>
      </c>
      <c r="E46" s="1">
        <v>70500</v>
      </c>
      <c r="F46" s="2">
        <v>42593</v>
      </c>
      <c r="G46" s="1" t="s">
        <v>28</v>
      </c>
      <c r="H46" s="1">
        <v>3</v>
      </c>
      <c r="I46" s="1">
        <v>5</v>
      </c>
      <c r="J46" s="1">
        <v>3525</v>
      </c>
      <c r="L46">
        <v>90</v>
      </c>
      <c r="M46" t="str">
        <v>Alice Fisher</v>
      </c>
      <c r="N46" t="str">
        <v>Finance</v>
      </c>
      <c r="O46" t="str">
        <v>Phoenix</v>
      </c>
      <c r="P46">
        <v>75500</v>
      </c>
      <c r="Q46">
        <v>42830</v>
      </c>
      <c r="R46" t="str">
        <v>John</v>
      </c>
      <c r="S46">
        <v>5</v>
      </c>
      <c r="T46">
        <v>8</v>
      </c>
      <c r="U46">
        <v>6040</v>
      </c>
    </row>
    <row r="47" spans="1:21" x14ac:dyDescent="0.25">
      <c r="A47" s="1">
        <v>46</v>
      </c>
      <c r="B47" s="1" t="s">
        <v>73</v>
      </c>
      <c r="C47" s="1" t="s">
        <v>11</v>
      </c>
      <c r="D47" s="1" t="s">
        <v>30</v>
      </c>
      <c r="E47" s="1">
        <v>55500</v>
      </c>
      <c r="F47" s="2">
        <v>43271</v>
      </c>
      <c r="G47" s="1" t="s">
        <v>13</v>
      </c>
      <c r="H47" s="1">
        <v>4</v>
      </c>
      <c r="I47" s="1">
        <v>6</v>
      </c>
      <c r="J47" s="1">
        <v>3330</v>
      </c>
      <c r="L47">
        <v>100</v>
      </c>
      <c r="M47" t="str">
        <v>Samantha Olson</v>
      </c>
      <c r="N47" t="str">
        <v>Finance</v>
      </c>
      <c r="O47" t="str">
        <v>Phoenix</v>
      </c>
      <c r="P47">
        <v>75000</v>
      </c>
      <c r="Q47">
        <v>42873</v>
      </c>
      <c r="R47" t="str">
        <v>John</v>
      </c>
      <c r="S47">
        <v>5</v>
      </c>
      <c r="T47">
        <v>8</v>
      </c>
      <c r="U47">
        <v>6000</v>
      </c>
    </row>
    <row r="48" spans="1:21" x14ac:dyDescent="0.25">
      <c r="A48" s="1">
        <v>47</v>
      </c>
      <c r="B48" s="1" t="s">
        <v>74</v>
      </c>
      <c r="C48" s="1" t="s">
        <v>19</v>
      </c>
      <c r="D48" s="1" t="s">
        <v>32</v>
      </c>
      <c r="E48" s="1">
        <v>71500</v>
      </c>
      <c r="F48" s="2">
        <v>44329</v>
      </c>
      <c r="G48" s="1" t="s">
        <v>21</v>
      </c>
      <c r="H48" s="1">
        <v>5</v>
      </c>
      <c r="I48" s="1">
        <v>8</v>
      </c>
      <c r="J48" s="1">
        <v>5720</v>
      </c>
    </row>
    <row r="49" spans="1:10" x14ac:dyDescent="0.25">
      <c r="A49" s="1">
        <v>48</v>
      </c>
      <c r="B49" s="1" t="s">
        <v>75</v>
      </c>
      <c r="C49" s="1" t="s">
        <v>15</v>
      </c>
      <c r="D49" s="1" t="s">
        <v>16</v>
      </c>
      <c r="E49" s="1">
        <v>51000</v>
      </c>
      <c r="F49" s="2">
        <v>43696</v>
      </c>
      <c r="G49" s="1" t="s">
        <v>17</v>
      </c>
      <c r="H49" s="1">
        <v>3</v>
      </c>
      <c r="I49" s="1">
        <v>5</v>
      </c>
      <c r="J49" s="1">
        <v>2550</v>
      </c>
    </row>
    <row r="50" spans="1:10" x14ac:dyDescent="0.25">
      <c r="A50" s="1">
        <v>49</v>
      </c>
      <c r="B50" s="1" t="s">
        <v>76</v>
      </c>
      <c r="C50" s="1" t="s">
        <v>23</v>
      </c>
      <c r="D50" s="1" t="s">
        <v>35</v>
      </c>
      <c r="E50" s="1">
        <v>61500</v>
      </c>
      <c r="F50" s="2">
        <v>43405</v>
      </c>
      <c r="G50" s="1" t="s">
        <v>13</v>
      </c>
      <c r="H50" s="1">
        <v>4</v>
      </c>
      <c r="I50" s="1">
        <v>6</v>
      </c>
      <c r="J50" s="1">
        <v>3690</v>
      </c>
    </row>
    <row r="51" spans="1:10" x14ac:dyDescent="0.25">
      <c r="A51" s="1">
        <v>50</v>
      </c>
      <c r="B51" s="1" t="s">
        <v>77</v>
      </c>
      <c r="C51" s="1" t="s">
        <v>26</v>
      </c>
      <c r="D51" s="1" t="s">
        <v>37</v>
      </c>
      <c r="E51" s="1">
        <v>75000</v>
      </c>
      <c r="F51" s="2">
        <v>42896</v>
      </c>
      <c r="G51" s="1" t="s">
        <v>28</v>
      </c>
      <c r="H51" s="1">
        <v>5</v>
      </c>
      <c r="I51" s="1">
        <v>8</v>
      </c>
      <c r="J51" s="1">
        <v>6000</v>
      </c>
    </row>
    <row r="52" spans="1:10" x14ac:dyDescent="0.25">
      <c r="A52" s="1">
        <v>51</v>
      </c>
      <c r="B52" s="1" t="s">
        <v>78</v>
      </c>
      <c r="C52" s="1" t="s">
        <v>11</v>
      </c>
      <c r="D52" s="1" t="s">
        <v>12</v>
      </c>
      <c r="E52" s="1">
        <v>59000</v>
      </c>
      <c r="F52" s="2">
        <v>43177</v>
      </c>
      <c r="G52" s="1" t="s">
        <v>13</v>
      </c>
      <c r="H52" s="1">
        <v>4</v>
      </c>
      <c r="I52" s="1">
        <v>6</v>
      </c>
      <c r="J52" s="1">
        <v>3540</v>
      </c>
    </row>
    <row r="53" spans="1:10" x14ac:dyDescent="0.25">
      <c r="A53" s="1">
        <v>52</v>
      </c>
      <c r="B53" s="1" t="s">
        <v>79</v>
      </c>
      <c r="C53" s="1" t="s">
        <v>15</v>
      </c>
      <c r="D53" s="1" t="s">
        <v>16</v>
      </c>
      <c r="E53" s="1">
        <v>54000</v>
      </c>
      <c r="F53" s="2">
        <v>43600</v>
      </c>
      <c r="G53" s="1" t="s">
        <v>17</v>
      </c>
      <c r="H53" s="1">
        <v>3</v>
      </c>
      <c r="I53" s="1">
        <v>5</v>
      </c>
      <c r="J53" s="1">
        <v>2700</v>
      </c>
    </row>
    <row r="54" spans="1:10" x14ac:dyDescent="0.25">
      <c r="A54" s="1">
        <v>53</v>
      </c>
      <c r="B54" s="1" t="s">
        <v>80</v>
      </c>
      <c r="C54" s="1" t="s">
        <v>19</v>
      </c>
      <c r="D54" s="1" t="s">
        <v>20</v>
      </c>
      <c r="E54" s="1">
        <v>69500</v>
      </c>
      <c r="F54" s="2">
        <v>44057</v>
      </c>
      <c r="G54" s="1" t="s">
        <v>21</v>
      </c>
      <c r="H54" s="1">
        <v>5</v>
      </c>
      <c r="I54" s="1">
        <v>8</v>
      </c>
      <c r="J54" s="1">
        <v>5560</v>
      </c>
    </row>
    <row r="55" spans="1:10" x14ac:dyDescent="0.25">
      <c r="A55" s="1">
        <v>54</v>
      </c>
      <c r="B55" s="1" t="s">
        <v>81</v>
      </c>
      <c r="C55" s="1" t="s">
        <v>23</v>
      </c>
      <c r="D55" s="1" t="s">
        <v>24</v>
      </c>
      <c r="E55" s="1">
        <v>63500</v>
      </c>
      <c r="F55" s="2">
        <v>43038</v>
      </c>
      <c r="G55" s="1" t="s">
        <v>13</v>
      </c>
      <c r="H55" s="1">
        <v>4</v>
      </c>
      <c r="I55" s="1">
        <v>6</v>
      </c>
      <c r="J55" s="1">
        <v>3810</v>
      </c>
    </row>
    <row r="56" spans="1:10" x14ac:dyDescent="0.25">
      <c r="A56" s="1">
        <v>55</v>
      </c>
      <c r="B56" s="1" t="s">
        <v>82</v>
      </c>
      <c r="C56" s="1" t="s">
        <v>26</v>
      </c>
      <c r="D56" s="1" t="s">
        <v>27</v>
      </c>
      <c r="E56" s="1">
        <v>71000</v>
      </c>
      <c r="F56" s="2">
        <v>42509</v>
      </c>
      <c r="G56" s="1" t="s">
        <v>28</v>
      </c>
      <c r="H56" s="1">
        <v>3</v>
      </c>
      <c r="I56" s="1">
        <v>5</v>
      </c>
      <c r="J56" s="1">
        <v>3550</v>
      </c>
    </row>
    <row r="57" spans="1:10" x14ac:dyDescent="0.25">
      <c r="A57" s="1">
        <v>56</v>
      </c>
      <c r="B57" s="1" t="s">
        <v>83</v>
      </c>
      <c r="C57" s="1" t="s">
        <v>11</v>
      </c>
      <c r="D57" s="1" t="s">
        <v>30</v>
      </c>
      <c r="E57" s="1">
        <v>56000</v>
      </c>
      <c r="F57" s="2">
        <v>43345</v>
      </c>
      <c r="G57" s="1" t="s">
        <v>13</v>
      </c>
      <c r="H57" s="1">
        <v>4</v>
      </c>
      <c r="I57" s="1">
        <v>6</v>
      </c>
      <c r="J57" s="1">
        <v>3360</v>
      </c>
    </row>
    <row r="58" spans="1:10" x14ac:dyDescent="0.25">
      <c r="A58" s="1">
        <v>57</v>
      </c>
      <c r="B58" s="1" t="s">
        <v>84</v>
      </c>
      <c r="C58" s="1" t="s">
        <v>19</v>
      </c>
      <c r="D58" s="1" t="s">
        <v>32</v>
      </c>
      <c r="E58" s="1">
        <v>70500</v>
      </c>
      <c r="F58" s="2">
        <v>44156</v>
      </c>
      <c r="G58" s="1" t="s">
        <v>21</v>
      </c>
      <c r="H58" s="1">
        <v>5</v>
      </c>
      <c r="I58" s="1">
        <v>8</v>
      </c>
      <c r="J58" s="1">
        <v>5640</v>
      </c>
    </row>
    <row r="59" spans="1:10" x14ac:dyDescent="0.25">
      <c r="A59" s="1">
        <v>58</v>
      </c>
      <c r="B59" s="1" t="s">
        <v>85</v>
      </c>
      <c r="C59" s="1" t="s">
        <v>15</v>
      </c>
      <c r="D59" s="1" t="s">
        <v>16</v>
      </c>
      <c r="E59" s="1">
        <v>51500</v>
      </c>
      <c r="F59" s="2">
        <v>43726</v>
      </c>
      <c r="G59" s="1" t="s">
        <v>17</v>
      </c>
      <c r="H59" s="1">
        <v>3</v>
      </c>
      <c r="I59" s="1">
        <v>5</v>
      </c>
      <c r="J59" s="1">
        <v>2575</v>
      </c>
    </row>
    <row r="60" spans="1:10" x14ac:dyDescent="0.25">
      <c r="A60" s="1">
        <v>59</v>
      </c>
      <c r="B60" s="1" t="s">
        <v>86</v>
      </c>
      <c r="C60" s="1" t="s">
        <v>23</v>
      </c>
      <c r="D60" s="1" t="s">
        <v>35</v>
      </c>
      <c r="E60" s="1">
        <v>62000</v>
      </c>
      <c r="F60" s="2">
        <v>43451</v>
      </c>
      <c r="G60" s="1" t="s">
        <v>13</v>
      </c>
      <c r="H60" s="1">
        <v>4</v>
      </c>
      <c r="I60" s="1">
        <v>6</v>
      </c>
      <c r="J60" s="1">
        <v>3720</v>
      </c>
    </row>
    <row r="61" spans="1:10" x14ac:dyDescent="0.25">
      <c r="A61" s="1">
        <v>60</v>
      </c>
      <c r="B61" s="1" t="s">
        <v>87</v>
      </c>
      <c r="C61" s="1" t="s">
        <v>26</v>
      </c>
      <c r="D61" s="1" t="s">
        <v>37</v>
      </c>
      <c r="E61" s="1">
        <v>75500</v>
      </c>
      <c r="F61" s="2">
        <v>42822</v>
      </c>
      <c r="G61" s="1" t="s">
        <v>28</v>
      </c>
      <c r="H61" s="1">
        <v>5</v>
      </c>
      <c r="I61" s="1">
        <v>8</v>
      </c>
      <c r="J61" s="1">
        <v>6040</v>
      </c>
    </row>
    <row r="62" spans="1:10" x14ac:dyDescent="0.25">
      <c r="A62" s="1">
        <v>61</v>
      </c>
      <c r="B62" s="1" t="s">
        <v>88</v>
      </c>
      <c r="C62" s="1" t="s">
        <v>11</v>
      </c>
      <c r="D62" s="1" t="s">
        <v>12</v>
      </c>
      <c r="E62" s="1">
        <v>58500</v>
      </c>
      <c r="F62" s="2">
        <v>43141</v>
      </c>
      <c r="G62" s="1" t="s">
        <v>13</v>
      </c>
      <c r="H62" s="1">
        <v>4</v>
      </c>
      <c r="I62" s="1">
        <v>6</v>
      </c>
      <c r="J62" s="1">
        <v>3510</v>
      </c>
    </row>
    <row r="63" spans="1:10" x14ac:dyDescent="0.25">
      <c r="A63" s="1">
        <v>62</v>
      </c>
      <c r="B63" s="1" t="s">
        <v>89</v>
      </c>
      <c r="C63" s="1" t="s">
        <v>15</v>
      </c>
      <c r="D63" s="1" t="s">
        <v>16</v>
      </c>
      <c r="E63" s="1">
        <v>53000</v>
      </c>
      <c r="F63" s="2">
        <v>43704</v>
      </c>
      <c r="G63" s="1" t="s">
        <v>17</v>
      </c>
      <c r="H63" s="1">
        <v>3</v>
      </c>
      <c r="I63" s="1">
        <v>5</v>
      </c>
      <c r="J63" s="1">
        <v>2650</v>
      </c>
    </row>
    <row r="64" spans="1:10" x14ac:dyDescent="0.25">
      <c r="A64" s="1">
        <v>63</v>
      </c>
      <c r="B64" s="1" t="s">
        <v>90</v>
      </c>
      <c r="C64" s="1" t="s">
        <v>19</v>
      </c>
      <c r="D64" s="1" t="s">
        <v>20</v>
      </c>
      <c r="E64" s="1">
        <v>70000</v>
      </c>
      <c r="F64" s="2">
        <v>44005</v>
      </c>
      <c r="G64" s="1" t="s">
        <v>21</v>
      </c>
      <c r="H64" s="1">
        <v>5</v>
      </c>
      <c r="I64" s="1">
        <v>8</v>
      </c>
      <c r="J64" s="1">
        <v>5600</v>
      </c>
    </row>
    <row r="65" spans="1:10" x14ac:dyDescent="0.25">
      <c r="A65" s="1">
        <v>64</v>
      </c>
      <c r="B65" s="1" t="s">
        <v>91</v>
      </c>
      <c r="C65" s="1" t="s">
        <v>23</v>
      </c>
      <c r="D65" s="1" t="s">
        <v>24</v>
      </c>
      <c r="E65" s="1">
        <v>64000</v>
      </c>
      <c r="F65" s="2">
        <v>42995</v>
      </c>
      <c r="G65" s="1" t="s">
        <v>13</v>
      </c>
      <c r="H65" s="1">
        <v>4</v>
      </c>
      <c r="I65" s="1">
        <v>6</v>
      </c>
      <c r="J65" s="1">
        <v>3840</v>
      </c>
    </row>
    <row r="66" spans="1:10" x14ac:dyDescent="0.25">
      <c r="A66" s="1">
        <v>65</v>
      </c>
      <c r="B66" s="1" t="s">
        <v>92</v>
      </c>
      <c r="C66" s="1" t="s">
        <v>26</v>
      </c>
      <c r="D66" s="1" t="s">
        <v>27</v>
      </c>
      <c r="E66" s="1">
        <v>72000</v>
      </c>
      <c r="F66" s="2">
        <v>42470</v>
      </c>
      <c r="G66" s="1" t="s">
        <v>28</v>
      </c>
      <c r="H66" s="1">
        <v>3</v>
      </c>
      <c r="I66" s="1">
        <v>5</v>
      </c>
      <c r="J66" s="1">
        <v>3600</v>
      </c>
    </row>
    <row r="67" spans="1:10" x14ac:dyDescent="0.25">
      <c r="A67" s="1">
        <v>66</v>
      </c>
      <c r="B67" s="1" t="s">
        <v>93</v>
      </c>
      <c r="C67" s="1" t="s">
        <v>11</v>
      </c>
      <c r="D67" s="1" t="s">
        <v>30</v>
      </c>
      <c r="E67" s="1">
        <v>54500</v>
      </c>
      <c r="F67" s="2">
        <v>43415</v>
      </c>
      <c r="G67" s="1" t="s">
        <v>13</v>
      </c>
      <c r="H67" s="1">
        <v>4</v>
      </c>
      <c r="I67" s="1">
        <v>6</v>
      </c>
      <c r="J67" s="1">
        <v>3270</v>
      </c>
    </row>
    <row r="68" spans="1:10" x14ac:dyDescent="0.25">
      <c r="A68" s="1">
        <v>67</v>
      </c>
      <c r="B68" s="1" t="s">
        <v>94</v>
      </c>
      <c r="C68" s="1" t="s">
        <v>19</v>
      </c>
      <c r="D68" s="1" t="s">
        <v>32</v>
      </c>
      <c r="E68" s="1">
        <v>71000</v>
      </c>
      <c r="F68" s="2">
        <v>44225</v>
      </c>
      <c r="G68" s="1" t="s">
        <v>21</v>
      </c>
      <c r="H68" s="1">
        <v>5</v>
      </c>
      <c r="I68" s="1">
        <v>8</v>
      </c>
      <c r="J68" s="1">
        <v>5680</v>
      </c>
    </row>
    <row r="69" spans="1:10" x14ac:dyDescent="0.25">
      <c r="A69" s="1">
        <v>68</v>
      </c>
      <c r="B69" s="1" t="s">
        <v>95</v>
      </c>
      <c r="C69" s="1" t="s">
        <v>15</v>
      </c>
      <c r="D69" s="1" t="s">
        <v>16</v>
      </c>
      <c r="E69" s="1">
        <v>50500</v>
      </c>
      <c r="F69" s="2">
        <v>43740</v>
      </c>
      <c r="G69" s="1" t="s">
        <v>17</v>
      </c>
      <c r="H69" s="1">
        <v>3</v>
      </c>
      <c r="I69" s="1">
        <v>5</v>
      </c>
      <c r="J69" s="1">
        <v>2525</v>
      </c>
    </row>
    <row r="70" spans="1:10" x14ac:dyDescent="0.25">
      <c r="A70" s="1">
        <v>69</v>
      </c>
      <c r="B70" s="1" t="s">
        <v>96</v>
      </c>
      <c r="C70" s="1" t="s">
        <v>23</v>
      </c>
      <c r="D70" s="1" t="s">
        <v>35</v>
      </c>
      <c r="E70" s="1">
        <v>62500</v>
      </c>
      <c r="F70" s="2">
        <v>43396</v>
      </c>
      <c r="G70" s="1" t="s">
        <v>13</v>
      </c>
      <c r="H70" s="1">
        <v>4</v>
      </c>
      <c r="I70" s="1">
        <v>6</v>
      </c>
      <c r="J70" s="1">
        <v>3750</v>
      </c>
    </row>
    <row r="71" spans="1:10" x14ac:dyDescent="0.25">
      <c r="A71" s="1">
        <v>70</v>
      </c>
      <c r="B71" s="1" t="s">
        <v>97</v>
      </c>
      <c r="C71" s="1" t="s">
        <v>26</v>
      </c>
      <c r="D71" s="1" t="s">
        <v>37</v>
      </c>
      <c r="E71" s="1">
        <v>76000</v>
      </c>
      <c r="F71" s="2">
        <v>42869</v>
      </c>
      <c r="G71" s="1" t="s">
        <v>28</v>
      </c>
      <c r="H71" s="1">
        <v>5</v>
      </c>
      <c r="I71" s="1">
        <v>8</v>
      </c>
      <c r="J71" s="1">
        <v>6080</v>
      </c>
    </row>
    <row r="72" spans="1:10" x14ac:dyDescent="0.25">
      <c r="A72" s="1">
        <v>71</v>
      </c>
      <c r="B72" s="1" t="s">
        <v>98</v>
      </c>
      <c r="C72" s="1" t="s">
        <v>11</v>
      </c>
      <c r="D72" s="1" t="s">
        <v>12</v>
      </c>
      <c r="E72" s="1">
        <v>57000</v>
      </c>
      <c r="F72" s="2">
        <v>43551</v>
      </c>
      <c r="G72" s="1" t="s">
        <v>13</v>
      </c>
      <c r="H72" s="1">
        <v>4</v>
      </c>
      <c r="I72" s="1">
        <v>6</v>
      </c>
      <c r="J72" s="1">
        <v>3420</v>
      </c>
    </row>
    <row r="73" spans="1:10" x14ac:dyDescent="0.25">
      <c r="A73" s="1">
        <v>72</v>
      </c>
      <c r="B73" s="1" t="s">
        <v>99</v>
      </c>
      <c r="C73" s="1" t="s">
        <v>15</v>
      </c>
      <c r="D73" s="1" t="s">
        <v>16</v>
      </c>
      <c r="E73" s="1">
        <v>51500</v>
      </c>
      <c r="F73" s="2">
        <v>43625</v>
      </c>
      <c r="G73" s="1" t="s">
        <v>17</v>
      </c>
      <c r="H73" s="1">
        <v>3</v>
      </c>
      <c r="I73" s="1">
        <v>5</v>
      </c>
      <c r="J73" s="1">
        <v>2575</v>
      </c>
    </row>
    <row r="74" spans="1:10" x14ac:dyDescent="0.25">
      <c r="A74" s="1">
        <v>73</v>
      </c>
      <c r="B74" s="1" t="s">
        <v>100</v>
      </c>
      <c r="C74" s="1" t="s">
        <v>19</v>
      </c>
      <c r="D74" s="1" t="s">
        <v>20</v>
      </c>
      <c r="E74" s="1">
        <v>69000</v>
      </c>
      <c r="F74" s="2">
        <v>44093</v>
      </c>
      <c r="G74" s="1" t="s">
        <v>21</v>
      </c>
      <c r="H74" s="1">
        <v>5</v>
      </c>
      <c r="I74" s="1">
        <v>8</v>
      </c>
      <c r="J74" s="1">
        <v>5520</v>
      </c>
    </row>
    <row r="75" spans="1:10" x14ac:dyDescent="0.25">
      <c r="A75" s="1">
        <v>74</v>
      </c>
      <c r="B75" s="1" t="s">
        <v>101</v>
      </c>
      <c r="C75" s="1" t="s">
        <v>23</v>
      </c>
      <c r="D75" s="1" t="s">
        <v>24</v>
      </c>
      <c r="E75" s="1">
        <v>61500</v>
      </c>
      <c r="F75" s="2">
        <v>43089</v>
      </c>
      <c r="G75" s="1" t="s">
        <v>13</v>
      </c>
      <c r="H75" s="1">
        <v>4</v>
      </c>
      <c r="I75" s="1">
        <v>6</v>
      </c>
      <c r="J75" s="1">
        <v>3690</v>
      </c>
    </row>
    <row r="76" spans="1:10" x14ac:dyDescent="0.25">
      <c r="A76" s="1">
        <v>75</v>
      </c>
      <c r="B76" s="1" t="s">
        <v>102</v>
      </c>
      <c r="C76" s="1" t="s">
        <v>26</v>
      </c>
      <c r="D76" s="1" t="s">
        <v>27</v>
      </c>
      <c r="E76" s="1">
        <v>73000</v>
      </c>
      <c r="F76" s="2">
        <v>42515</v>
      </c>
      <c r="G76" s="1" t="s">
        <v>28</v>
      </c>
      <c r="H76" s="1">
        <v>3</v>
      </c>
      <c r="I76" s="1">
        <v>5</v>
      </c>
      <c r="J76" s="1">
        <v>3650</v>
      </c>
    </row>
    <row r="77" spans="1:10" x14ac:dyDescent="0.25">
      <c r="A77" s="1">
        <v>76</v>
      </c>
      <c r="B77" s="1" t="s">
        <v>103</v>
      </c>
      <c r="C77" s="1" t="s">
        <v>11</v>
      </c>
      <c r="D77" s="1" t="s">
        <v>30</v>
      </c>
      <c r="E77" s="1">
        <v>55000</v>
      </c>
      <c r="F77" s="2">
        <v>43400</v>
      </c>
      <c r="G77" s="1" t="s">
        <v>13</v>
      </c>
      <c r="H77" s="1">
        <v>4</v>
      </c>
      <c r="I77" s="1">
        <v>6</v>
      </c>
      <c r="J77" s="1">
        <v>3300</v>
      </c>
    </row>
    <row r="78" spans="1:10" x14ac:dyDescent="0.25">
      <c r="A78" s="1">
        <v>77</v>
      </c>
      <c r="B78" s="1" t="s">
        <v>104</v>
      </c>
      <c r="C78" s="1" t="s">
        <v>19</v>
      </c>
      <c r="D78" s="1" t="s">
        <v>32</v>
      </c>
      <c r="E78" s="1">
        <v>70000</v>
      </c>
      <c r="F78" s="2">
        <v>44294</v>
      </c>
      <c r="G78" s="1" t="s">
        <v>21</v>
      </c>
      <c r="H78" s="1">
        <v>5</v>
      </c>
      <c r="I78" s="1">
        <v>8</v>
      </c>
      <c r="J78" s="1">
        <v>5600</v>
      </c>
    </row>
    <row r="79" spans="1:10" x14ac:dyDescent="0.25">
      <c r="A79" s="1">
        <v>78</v>
      </c>
      <c r="B79" s="1" t="s">
        <v>105</v>
      </c>
      <c r="C79" s="1" t="s">
        <v>15</v>
      </c>
      <c r="D79" s="1" t="s">
        <v>16</v>
      </c>
      <c r="E79" s="1">
        <v>52000</v>
      </c>
      <c r="F79" s="2">
        <v>43711</v>
      </c>
      <c r="G79" s="1" t="s">
        <v>17</v>
      </c>
      <c r="H79" s="1">
        <v>3</v>
      </c>
      <c r="I79" s="1">
        <v>5</v>
      </c>
      <c r="J79" s="1">
        <v>2600</v>
      </c>
    </row>
    <row r="80" spans="1:10" x14ac:dyDescent="0.25">
      <c r="A80" s="1">
        <v>79</v>
      </c>
      <c r="B80" s="1" t="s">
        <v>106</v>
      </c>
      <c r="C80" s="1" t="s">
        <v>23</v>
      </c>
      <c r="D80" s="1" t="s">
        <v>35</v>
      </c>
      <c r="E80" s="1">
        <v>61000</v>
      </c>
      <c r="F80" s="2">
        <v>43446</v>
      </c>
      <c r="G80" s="1" t="s">
        <v>13</v>
      </c>
      <c r="H80" s="1">
        <v>4</v>
      </c>
      <c r="I80" s="1">
        <v>6</v>
      </c>
      <c r="J80" s="1">
        <v>3660</v>
      </c>
    </row>
    <row r="81" spans="1:10" x14ac:dyDescent="0.25">
      <c r="A81" s="1">
        <v>80</v>
      </c>
      <c r="B81" s="1" t="s">
        <v>107</v>
      </c>
      <c r="C81" s="1" t="s">
        <v>26</v>
      </c>
      <c r="D81" s="1" t="s">
        <v>37</v>
      </c>
      <c r="E81" s="1">
        <v>74000</v>
      </c>
      <c r="F81" s="2">
        <v>42815</v>
      </c>
      <c r="G81" s="1" t="s">
        <v>28</v>
      </c>
      <c r="H81" s="1">
        <v>5</v>
      </c>
      <c r="I81" s="1">
        <v>8</v>
      </c>
      <c r="J81" s="1">
        <v>5920</v>
      </c>
    </row>
    <row r="82" spans="1:10" x14ac:dyDescent="0.25">
      <c r="A82" s="1">
        <v>81</v>
      </c>
      <c r="B82" s="1" t="s">
        <v>108</v>
      </c>
      <c r="C82" s="1" t="s">
        <v>11</v>
      </c>
      <c r="D82" s="1" t="s">
        <v>12</v>
      </c>
      <c r="E82" s="1">
        <v>58000</v>
      </c>
      <c r="F82" s="2">
        <v>43174</v>
      </c>
      <c r="G82" s="1" t="s">
        <v>13</v>
      </c>
      <c r="H82" s="1">
        <v>4</v>
      </c>
      <c r="I82" s="1">
        <v>6</v>
      </c>
      <c r="J82" s="1">
        <v>3480</v>
      </c>
    </row>
    <row r="83" spans="1:10" x14ac:dyDescent="0.25">
      <c r="A83" s="1">
        <v>82</v>
      </c>
      <c r="B83" s="1" t="s">
        <v>109</v>
      </c>
      <c r="C83" s="1" t="s">
        <v>15</v>
      </c>
      <c r="D83" s="1" t="s">
        <v>16</v>
      </c>
      <c r="E83" s="1">
        <v>53000</v>
      </c>
      <c r="F83" s="2">
        <v>43665</v>
      </c>
      <c r="G83" s="1" t="s">
        <v>17</v>
      </c>
      <c r="H83" s="1">
        <v>3</v>
      </c>
      <c r="I83" s="1">
        <v>5</v>
      </c>
      <c r="J83" s="1">
        <v>2650</v>
      </c>
    </row>
    <row r="84" spans="1:10" x14ac:dyDescent="0.25">
      <c r="A84" s="1">
        <v>83</v>
      </c>
      <c r="B84" s="1" t="s">
        <v>110</v>
      </c>
      <c r="C84" s="1" t="s">
        <v>19</v>
      </c>
      <c r="D84" s="1" t="s">
        <v>20</v>
      </c>
      <c r="E84" s="1">
        <v>70500</v>
      </c>
      <c r="F84" s="2">
        <v>44069</v>
      </c>
      <c r="G84" s="1" t="s">
        <v>21</v>
      </c>
      <c r="H84" s="1">
        <v>5</v>
      </c>
      <c r="I84" s="1">
        <v>8</v>
      </c>
      <c r="J84" s="1">
        <v>5640</v>
      </c>
    </row>
    <row r="85" spans="1:10" x14ac:dyDescent="0.25">
      <c r="A85" s="1">
        <v>84</v>
      </c>
      <c r="B85" s="1" t="s">
        <v>111</v>
      </c>
      <c r="C85" s="1" t="s">
        <v>23</v>
      </c>
      <c r="D85" s="1" t="s">
        <v>24</v>
      </c>
      <c r="E85" s="1">
        <v>62500</v>
      </c>
      <c r="F85" s="2">
        <v>43057</v>
      </c>
      <c r="G85" s="1" t="s">
        <v>13</v>
      </c>
      <c r="H85" s="1">
        <v>4</v>
      </c>
      <c r="I85" s="1">
        <v>6</v>
      </c>
      <c r="J85" s="1">
        <v>3750</v>
      </c>
    </row>
    <row r="86" spans="1:10" x14ac:dyDescent="0.25">
      <c r="A86" s="1">
        <v>85</v>
      </c>
      <c r="B86" s="1" t="s">
        <v>112</v>
      </c>
      <c r="C86" s="1" t="s">
        <v>26</v>
      </c>
      <c r="D86" s="1" t="s">
        <v>27</v>
      </c>
      <c r="E86" s="1">
        <v>71500</v>
      </c>
      <c r="F86" s="2">
        <v>42501</v>
      </c>
      <c r="G86" s="1" t="s">
        <v>28</v>
      </c>
      <c r="H86" s="1">
        <v>3</v>
      </c>
      <c r="I86" s="1">
        <v>5</v>
      </c>
      <c r="J86" s="1">
        <v>3575</v>
      </c>
    </row>
    <row r="87" spans="1:10" x14ac:dyDescent="0.25">
      <c r="A87" s="1">
        <v>86</v>
      </c>
      <c r="B87" s="1" t="s">
        <v>113</v>
      </c>
      <c r="C87" s="1" t="s">
        <v>11</v>
      </c>
      <c r="D87" s="1" t="s">
        <v>30</v>
      </c>
      <c r="E87" s="1">
        <v>55500</v>
      </c>
      <c r="F87" s="2">
        <v>43359</v>
      </c>
      <c r="G87" s="1" t="s">
        <v>13</v>
      </c>
      <c r="H87" s="1">
        <v>4</v>
      </c>
      <c r="I87" s="1">
        <v>6</v>
      </c>
      <c r="J87" s="1">
        <v>3330</v>
      </c>
    </row>
    <row r="88" spans="1:10" x14ac:dyDescent="0.25">
      <c r="A88" s="1">
        <v>87</v>
      </c>
      <c r="B88" s="1" t="s">
        <v>114</v>
      </c>
      <c r="C88" s="1" t="s">
        <v>19</v>
      </c>
      <c r="D88" s="1" t="s">
        <v>32</v>
      </c>
      <c r="E88" s="1">
        <v>71000</v>
      </c>
      <c r="F88" s="2">
        <v>44260</v>
      </c>
      <c r="G88" s="1" t="s">
        <v>21</v>
      </c>
      <c r="H88" s="1">
        <v>5</v>
      </c>
      <c r="I88" s="1">
        <v>8</v>
      </c>
      <c r="J88" s="1">
        <v>5680</v>
      </c>
    </row>
    <row r="89" spans="1:10" x14ac:dyDescent="0.25">
      <c r="A89" s="1">
        <v>88</v>
      </c>
      <c r="B89" s="1" t="s">
        <v>115</v>
      </c>
      <c r="C89" s="1" t="s">
        <v>15</v>
      </c>
      <c r="D89" s="1" t="s">
        <v>16</v>
      </c>
      <c r="E89" s="1">
        <v>51000</v>
      </c>
      <c r="F89" s="2">
        <v>43637</v>
      </c>
      <c r="G89" s="1" t="s">
        <v>17</v>
      </c>
      <c r="H89" s="1">
        <v>3</v>
      </c>
      <c r="I89" s="1">
        <v>5</v>
      </c>
      <c r="J89" s="1">
        <v>2550</v>
      </c>
    </row>
    <row r="90" spans="1:10" x14ac:dyDescent="0.25">
      <c r="A90" s="1">
        <v>89</v>
      </c>
      <c r="B90" s="1" t="s">
        <v>116</v>
      </c>
      <c r="C90" s="1" t="s">
        <v>23</v>
      </c>
      <c r="D90" s="1" t="s">
        <v>35</v>
      </c>
      <c r="E90" s="1">
        <v>62000</v>
      </c>
      <c r="F90" s="2">
        <v>43413</v>
      </c>
      <c r="G90" s="1" t="s">
        <v>13</v>
      </c>
      <c r="H90" s="1">
        <v>4</v>
      </c>
      <c r="I90" s="1">
        <v>6</v>
      </c>
      <c r="J90" s="1">
        <v>3720</v>
      </c>
    </row>
    <row r="91" spans="1:10" x14ac:dyDescent="0.25">
      <c r="A91" s="1">
        <v>90</v>
      </c>
      <c r="B91" s="1" t="s">
        <v>117</v>
      </c>
      <c r="C91" s="1" t="s">
        <v>26</v>
      </c>
      <c r="D91" s="1" t="s">
        <v>37</v>
      </c>
      <c r="E91" s="1">
        <v>75500</v>
      </c>
      <c r="F91" s="2">
        <v>42830</v>
      </c>
      <c r="G91" s="1" t="s">
        <v>28</v>
      </c>
      <c r="H91" s="1">
        <v>5</v>
      </c>
      <c r="I91" s="1">
        <v>8</v>
      </c>
      <c r="J91" s="1">
        <v>6040</v>
      </c>
    </row>
    <row r="92" spans="1:10" x14ac:dyDescent="0.25">
      <c r="A92" s="1">
        <v>91</v>
      </c>
      <c r="B92" s="1" t="s">
        <v>118</v>
      </c>
      <c r="C92" s="1" t="s">
        <v>11</v>
      </c>
      <c r="D92" s="1" t="s">
        <v>12</v>
      </c>
      <c r="E92" s="1">
        <v>57500</v>
      </c>
      <c r="F92" s="2">
        <v>43578</v>
      </c>
      <c r="G92" s="1" t="s">
        <v>13</v>
      </c>
      <c r="H92" s="1">
        <v>4</v>
      </c>
      <c r="I92" s="1">
        <v>6</v>
      </c>
      <c r="J92" s="1">
        <v>3450</v>
      </c>
    </row>
    <row r="93" spans="1:10" x14ac:dyDescent="0.25">
      <c r="A93" s="1">
        <v>92</v>
      </c>
      <c r="B93" s="1" t="s">
        <v>119</v>
      </c>
      <c r="C93" s="1" t="s">
        <v>15</v>
      </c>
      <c r="D93" s="1" t="s">
        <v>16</v>
      </c>
      <c r="E93" s="1">
        <v>52500</v>
      </c>
      <c r="F93" s="2">
        <v>43682</v>
      </c>
      <c r="G93" s="1" t="s">
        <v>17</v>
      </c>
      <c r="H93" s="1">
        <v>3</v>
      </c>
      <c r="I93" s="1">
        <v>5</v>
      </c>
      <c r="J93" s="1">
        <v>2625</v>
      </c>
    </row>
    <row r="94" spans="1:10" x14ac:dyDescent="0.25">
      <c r="A94" s="1">
        <v>93</v>
      </c>
      <c r="B94" s="1" t="s">
        <v>120</v>
      </c>
      <c r="C94" s="1" t="s">
        <v>19</v>
      </c>
      <c r="D94" s="1" t="s">
        <v>20</v>
      </c>
      <c r="E94" s="1">
        <v>69500</v>
      </c>
      <c r="F94" s="2">
        <v>43963</v>
      </c>
      <c r="G94" s="1" t="s">
        <v>21</v>
      </c>
      <c r="H94" s="1">
        <v>5</v>
      </c>
      <c r="I94" s="1">
        <v>8</v>
      </c>
      <c r="J94" s="1">
        <v>5560</v>
      </c>
    </row>
    <row r="95" spans="1:10" x14ac:dyDescent="0.25">
      <c r="A95" s="1">
        <v>94</v>
      </c>
      <c r="B95" s="1" t="s">
        <v>121</v>
      </c>
      <c r="C95" s="1" t="s">
        <v>23</v>
      </c>
      <c r="D95" s="1" t="s">
        <v>24</v>
      </c>
      <c r="E95" s="1">
        <v>63000</v>
      </c>
      <c r="F95" s="2">
        <v>43006</v>
      </c>
      <c r="G95" s="1" t="s">
        <v>13</v>
      </c>
      <c r="H95" s="1">
        <v>4</v>
      </c>
      <c r="I95" s="1">
        <v>6</v>
      </c>
      <c r="J95" s="1">
        <v>3780</v>
      </c>
    </row>
    <row r="96" spans="1:10" x14ac:dyDescent="0.25">
      <c r="A96" s="1">
        <v>95</v>
      </c>
      <c r="B96" s="1" t="s">
        <v>122</v>
      </c>
      <c r="C96" s="1" t="s">
        <v>26</v>
      </c>
      <c r="D96" s="1" t="s">
        <v>27</v>
      </c>
      <c r="E96" s="1">
        <v>72000</v>
      </c>
      <c r="F96" s="2">
        <v>42570</v>
      </c>
      <c r="G96" s="1" t="s">
        <v>28</v>
      </c>
      <c r="H96" s="1">
        <v>3</v>
      </c>
      <c r="I96" s="1">
        <v>5</v>
      </c>
      <c r="J96" s="1">
        <v>3600</v>
      </c>
    </row>
    <row r="97" spans="1:10" x14ac:dyDescent="0.25">
      <c r="A97" s="1">
        <v>96</v>
      </c>
      <c r="B97" s="1" t="s">
        <v>123</v>
      </c>
      <c r="C97" s="1" t="s">
        <v>11</v>
      </c>
      <c r="D97" s="1" t="s">
        <v>30</v>
      </c>
      <c r="E97" s="1">
        <v>54500</v>
      </c>
      <c r="F97" s="2">
        <v>43376</v>
      </c>
      <c r="G97" s="1" t="s">
        <v>13</v>
      </c>
      <c r="H97" s="1">
        <v>4</v>
      </c>
      <c r="I97" s="1">
        <v>6</v>
      </c>
      <c r="J97" s="1">
        <v>3270</v>
      </c>
    </row>
    <row r="98" spans="1:10" x14ac:dyDescent="0.25">
      <c r="A98" s="1">
        <v>97</v>
      </c>
      <c r="B98" s="1" t="s">
        <v>124</v>
      </c>
      <c r="C98" s="1" t="s">
        <v>19</v>
      </c>
      <c r="D98" s="1" t="s">
        <v>32</v>
      </c>
      <c r="E98" s="1">
        <v>71500</v>
      </c>
      <c r="F98" s="2">
        <v>44237</v>
      </c>
      <c r="G98" s="1" t="s">
        <v>21</v>
      </c>
      <c r="H98" s="1">
        <v>5</v>
      </c>
      <c r="I98" s="1">
        <v>8</v>
      </c>
      <c r="J98" s="1">
        <v>5720</v>
      </c>
    </row>
    <row r="99" spans="1:10" x14ac:dyDescent="0.25">
      <c r="A99" s="1">
        <v>98</v>
      </c>
      <c r="B99" s="1" t="s">
        <v>125</v>
      </c>
      <c r="C99" s="1" t="s">
        <v>15</v>
      </c>
      <c r="D99" s="1" t="s">
        <v>16</v>
      </c>
      <c r="E99" s="1">
        <v>50500</v>
      </c>
      <c r="F99" s="2">
        <v>43632</v>
      </c>
      <c r="G99" s="1" t="s">
        <v>17</v>
      </c>
      <c r="H99" s="1">
        <v>3</v>
      </c>
      <c r="I99" s="1">
        <v>5</v>
      </c>
      <c r="J99" s="1">
        <v>2525</v>
      </c>
    </row>
    <row r="100" spans="1:10" x14ac:dyDescent="0.25">
      <c r="A100" s="1">
        <v>99</v>
      </c>
      <c r="B100" s="1" t="s">
        <v>126</v>
      </c>
      <c r="C100" s="1" t="s">
        <v>23</v>
      </c>
      <c r="D100" s="1" t="s">
        <v>35</v>
      </c>
      <c r="E100" s="1">
        <v>61500</v>
      </c>
      <c r="F100" s="2">
        <v>43439</v>
      </c>
      <c r="G100" s="1" t="s">
        <v>13</v>
      </c>
      <c r="H100" s="1">
        <v>4</v>
      </c>
      <c r="I100" s="1">
        <v>6</v>
      </c>
      <c r="J100" s="1">
        <v>3690</v>
      </c>
    </row>
    <row r="101" spans="1:10" x14ac:dyDescent="0.25">
      <c r="A101" s="1">
        <v>100</v>
      </c>
      <c r="B101" s="1" t="s">
        <v>127</v>
      </c>
      <c r="C101" s="1" t="s">
        <v>26</v>
      </c>
      <c r="D101" s="1" t="s">
        <v>37</v>
      </c>
      <c r="E101" s="1">
        <v>75000</v>
      </c>
      <c r="F101" s="2">
        <v>42873</v>
      </c>
      <c r="G101" s="1" t="s">
        <v>28</v>
      </c>
      <c r="H101" s="1">
        <v>5</v>
      </c>
      <c r="I101" s="1">
        <v>8</v>
      </c>
      <c r="J101" s="1">
        <v>6000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25EC-D01E-4DA8-A0E7-08AE9A539511}">
  <dimension ref="B5"/>
  <sheetViews>
    <sheetView zoomScale="145" zoomScaleNormal="145" workbookViewId="0">
      <selection activeCell="B5" sqref="B5"/>
    </sheetView>
  </sheetViews>
  <sheetFormatPr defaultRowHeight="15" x14ac:dyDescent="0.25"/>
  <sheetData>
    <row r="5" spans="2:2" x14ac:dyDescent="0.25">
      <c r="B5" t="str">
        <f>VLOOKUP(1,Sheet1!A2:J101,2)</f>
        <v>John Smith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 [Online Student]</cp:lastModifiedBy>
  <dcterms:created xsi:type="dcterms:W3CDTF">2025-11-07T03:29:00Z</dcterms:created>
  <dcterms:modified xsi:type="dcterms:W3CDTF">2026-04-20T04:31:04Z</dcterms:modified>
</cp:coreProperties>
</file>